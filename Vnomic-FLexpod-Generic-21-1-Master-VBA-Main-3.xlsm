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Makro\Master\"/>
    </mc:Choice>
  </mc:AlternateContent>
  <bookViews>
    <workbookView xWindow="12495" yWindow="555" windowWidth="4770" windowHeight="5190" tabRatio="872" activeTab="4" xr2:uid="{00000000-000D-0000-FFFF-FFFF00000000}"/>
  </bookViews>
  <sheets>
    <sheet name="HANA Scenarios" sheetId="11" r:id="rId1"/>
    <sheet name="FE Scenarios" sheetId="13" r:id="rId2"/>
    <sheet name="NW Scenarios" sheetId="14" r:id="rId3"/>
    <sheet name="Landscapes" sheetId="12" r:id="rId4"/>
    <sheet name="Start" sheetId="15" r:id="rId5"/>
    <sheet name="Configuration Model" sheetId="25" r:id="rId6"/>
  </sheets>
  <functionGroups builtInGroupCount="19"/>
  <externalReferences>
    <externalReference r:id="rId7"/>
    <externalReference r:id="rId8"/>
  </externalReferences>
  <definedNames>
    <definedName name="B260_Memory_Customer_Sizes_Labels" localSheetId="5">INDEX('Configuration Model'!B260_Memory_Info,0,1)</definedName>
    <definedName name="B260_Memory_Customer_Sizes_Labels">INDEX(B260_Memory_Info,0,1)</definedName>
    <definedName name="B260_Memory_Info" localSheetId="5">'Configuration Model'!$A$173:$G$175</definedName>
    <definedName name="B260_Memory_Info">#REF!</definedName>
    <definedName name="B260_Memory_Max" localSheetId="5">'Configuration Model'!$B$175</definedName>
    <definedName name="B260_Memory_Max">#REF!</definedName>
    <definedName name="B260_Memory_Offered_Sizes" localSheetId="5">INDEX('Configuration Model'!B260_Memory_Info,0,2)</definedName>
    <definedName name="B260_Memory_Offered_Sizes">INDEX(B260_Memory_Info,0,2)</definedName>
    <definedName name="B260_Memory_Offered_Sizes_Reversed" localSheetId="5">INDEX('Configuration Model'!B260_Memory_Info,0,6)</definedName>
    <definedName name="B260_Memory_Offered_Sizes_Reversed">INDEX(B260_Memory_Info,0,6)</definedName>
    <definedName name="B260_Memory_Overhead_Sizes" localSheetId="5">INDEX('Configuration Model'!B260_Memory_Info,0,3)</definedName>
    <definedName name="B260_Memory_Overhead_Sizes">INDEX(B260_Memory_Info,0,3)</definedName>
    <definedName name="B260_Memory_Total_Sizes" localSheetId="5">INDEX('Configuration Model'!B260_Memory_Info,0,4)</definedName>
    <definedName name="B260_Memory_Total_Sizes">INDEX(B260_Memory_Info,0,4)</definedName>
    <definedName name="B260_Memory_Total_Sizes_Reversed" localSheetId="5">INDEX('Configuration Model'!B260_Memory_Info,0,7)</definedName>
    <definedName name="B260_Memory_Total_Sizes_Reversed">INDEX(B260_Memory_Info,0,7)</definedName>
    <definedName name="B460_Memory_Customer_Sizes_Labels" localSheetId="5">INDEX('Configuration Model'!B460_Memory_Info,0,1)</definedName>
    <definedName name="B460_Memory_Customer_Sizes_Labels">INDEX(B460_Memory_Info,0,1)</definedName>
    <definedName name="B460_Memory_Info" localSheetId="5">'Configuration Model'!$A$178:$G$181</definedName>
    <definedName name="B460_Memory_Info">#REF!</definedName>
    <definedName name="B460_Memory_Max" localSheetId="5">'Configuration Model'!$B$181</definedName>
    <definedName name="B460_Memory_Max">#REF!</definedName>
    <definedName name="B460_Memory_Offered_Sizes" localSheetId="5">INDEX('Configuration Model'!B460_Memory_Info,0,2)</definedName>
    <definedName name="B460_Memory_Offered_Sizes">INDEX(B460_Memory_Info,0,2)</definedName>
    <definedName name="B460_Memory_Offered_Sizes_Reversed" localSheetId="5">INDEX('Configuration Model'!B460_Memory_Info,0,6)</definedName>
    <definedName name="B460_Memory_Offered_Sizes_Reversed">INDEX(B460_Memory_Info,0,6)</definedName>
    <definedName name="B460_Memory_Overhead_Sizes" localSheetId="5">INDEX('Configuration Model'!B460_Memory_Info,0,3)</definedName>
    <definedName name="B460_Memory_Overhead_Sizes">INDEX(B460_Memory_Info,0,3)</definedName>
    <definedName name="B460_Memory_Total_Sizes" localSheetId="5">INDEX('Configuration Model'!B460_Memory_Info,0,4)</definedName>
    <definedName name="B460_Memory_Total_Sizes">INDEX(B460_Memory_Info,0,4)</definedName>
    <definedName name="B460_Memory_Total_Sizes_Reversed" localSheetId="5">INDEX('Configuration Model'!B460_Memory_Info,0,7)</definedName>
    <definedName name="B460_Memory_Total_Sizes_Reversed">INDEX(B460_Memory_Info,0,7)</definedName>
    <definedName name="BWoH" localSheetId="5">'Configuration Model'!$E$2</definedName>
    <definedName name="BWoH">#REF!</definedName>
    <definedName name="BWoH_Server_Size_Info" localSheetId="5">'Configuration Model'!$A$60:$X$71</definedName>
    <definedName name="BWoH_Server_Size_Info">#REF!</definedName>
    <definedName name="Const_VirtualMachine">"Virtual Machine"</definedName>
    <definedName name="CPU_Info" localSheetId="5">'Configuration Model'!$A$30:$I$31</definedName>
    <definedName name="CPU_Info">#REF!</definedName>
    <definedName name="File_System_Types" localSheetId="5">'Configuration Model'!$A$151:$A$153</definedName>
    <definedName name="File_System_Types">#REF!</definedName>
    <definedName name="HANA_Storage_Port_Oversubscription_Factor" localSheetId="5">'Configuration Model'!$B$93:$C$93</definedName>
    <definedName name="HANA_Storage_Port_Oversubscription_Factor">#REF!</definedName>
    <definedName name="HANA_Version_Info" localSheetId="5">'Configuration Model'!$A$8:$B$10</definedName>
    <definedName name="HANA_Version_Info">#REF!</definedName>
    <definedName name="HANA_Versions" localSheetId="5">'Configuration Model'!$A$8:$A$9</definedName>
    <definedName name="HANA_Versions">#REF!</definedName>
    <definedName name="HANA_Workload" localSheetId="5">'Configuration Model'!$E$2:$E$3</definedName>
    <definedName name="HANA_Workload">#REF!</definedName>
    <definedName name="Hypervisor_Version_Info" localSheetId="5">'Configuration Model'!$F$228:$H$230</definedName>
    <definedName name="Hypervisor_Version_Info">#REF!</definedName>
    <definedName name="Machine_Information" localSheetId="5">'Configuration Model'!$A$49:$C$51</definedName>
    <definedName name="Machine_Information">#REF!</definedName>
    <definedName name="Machine_Virtual_Machine" localSheetId="5">'Configuration Model'!$A$49</definedName>
    <definedName name="Machine_Virtual_Machine">#REF!</definedName>
    <definedName name="Machine_Workload_CPU_Tuple" localSheetId="5">'Configuration Model'!$A$34:$B$45</definedName>
    <definedName name="Machine_Workload_CPU_Tuple">#REF!</definedName>
    <definedName name="Netweaver_Language" localSheetId="5">'Configuration Model'!$A$97:$A$98</definedName>
    <definedName name="Netweaver_Language">#REF!</definedName>
    <definedName name="Netweaver_Server_Size_Info" localSheetId="5">'Configuration Model'!$A$101:$F$107</definedName>
    <definedName name="Netweaver_Server_Size_Info">#REF!</definedName>
    <definedName name="Netweaver_Server_Sizes" localSheetId="5">'Configuration Model'!$A$101:$A$103</definedName>
    <definedName name="Netweaver_Server_Sizes">#REF!</definedName>
    <definedName name="Netweaver_Version_Info" localSheetId="5">'Configuration Model'!$A$14:$C$18</definedName>
    <definedName name="Netweaver_Version_Info">#REF!</definedName>
    <definedName name="Netweaver_Versions" localSheetId="5">'Configuration Model'!$A$14:$C$18</definedName>
    <definedName name="Netweaver_Versions">#REF!</definedName>
    <definedName name="No" localSheetId="5">'Configuration Model'!$K$3</definedName>
    <definedName name="No">#REF!</definedName>
    <definedName name="NW_Storage_Backup_Capacity_scalar" localSheetId="5">'Configuration Model'!$B$121</definedName>
    <definedName name="NW_Storage_Backup_Capacity_scalar">#REF!</definedName>
    <definedName name="OS_Version_Info" localSheetId="5">'Configuration Model'!$A$2:$C$5</definedName>
    <definedName name="OS_Version_Info">#REF!</definedName>
    <definedName name="Server_Counts" localSheetId="5">'Configuration Model'!$G$110:$G$130</definedName>
    <definedName name="Server_Counts">#REF!</definedName>
    <definedName name="Server_Info" localSheetId="5">'Configuration Model'!$A$25:$I$26</definedName>
    <definedName name="Server_Info">#REF!</definedName>
    <definedName name="Server_Server_Size_Info" localSheetId="5">'Configuration Model'!$A$110:$F$118</definedName>
    <definedName name="Server_Server_Size_Info">#REF!</definedName>
    <definedName name="Server_Size_Info_NonProduction_Offset" localSheetId="5">'Configuration Model'!$B$57</definedName>
    <definedName name="Server_Size_Info_NonProduction_Offset">#REF!</definedName>
    <definedName name="Server_Size_Info_Production_Offset" localSheetId="5">'Configuration Model'!$B$56</definedName>
    <definedName name="Server_Size_Info_Production_Offset">#REF!</definedName>
    <definedName name="Server_Sizes" localSheetId="5">'Configuration Model'!$A$110:$A$114</definedName>
    <definedName name="Server_Sizes">#REF!</definedName>
    <definedName name="Servers_Storage_Backup_Capacity_scalar" localSheetId="5">'Configuration Model'!$B$155</definedName>
    <definedName name="Servers_Storage_Backup_Capacity_scalar">#REF!</definedName>
    <definedName name="SoH" localSheetId="5">'Configuration Model'!$E$3</definedName>
    <definedName name="SoH">#REF!</definedName>
    <definedName name="SoH_Server_Size_Info" localSheetId="5">'Configuration Model'!$A$76:$X$82</definedName>
    <definedName name="SoH_Server_Size_Info">#REF!</definedName>
    <definedName name="Storage_Backup_Capacity_scalar" localSheetId="5">'Configuration Model'!$B$90</definedName>
    <definedName name="Storage_Backup_Capacity_scalar">#REF!</definedName>
    <definedName name="Storage_hana_data_scalar" localSheetId="5">'Configuration Model'!$B$87</definedName>
    <definedName name="Storage_hana_data_scalar">#REF!</definedName>
    <definedName name="Storage_hana_log_scalar" localSheetId="5">'Configuration Model'!$B$88</definedName>
    <definedName name="Storage_hana_log_scalar">#REF!</definedName>
    <definedName name="Storage_hana_shared_scalar" localSheetId="5">'Configuration Model'!$B$86</definedName>
    <definedName name="Storage_hana_shared_scalar">#REF!</definedName>
    <definedName name="Storage_usr_sap" localSheetId="5">'Configuration Model'!$B$85</definedName>
    <definedName name="Storage_usr_sap">#REF!</definedName>
    <definedName name="Supported_Hypervisors" localSheetId="5">'Configuration Model'!$F$228:$F$230</definedName>
    <definedName name="Supported_Hypervisors">#REF!</definedName>
    <definedName name="Supported_Operating_Systems" localSheetId="5">'Configuration Model'!$A$2:$A$5</definedName>
    <definedName name="Supported_Operating_Systems">#REF!</definedName>
    <definedName name="Supported_UCS_Blade_Servers" localSheetId="5">'Configuration Model'!$A$227:$A$259</definedName>
    <definedName name="Supported_UCS_Blade_Servers">#REF!</definedName>
    <definedName name="tags">Landscapes!$K$2</definedName>
    <definedName name="Tags_Range">Landscapes!$K$2:$K$51</definedName>
    <definedName name="TDI_KPI_Options" localSheetId="5">'Configuration Model'!$D$2:$D$5</definedName>
    <definedName name="TDI_KPI_Options">#REF!</definedName>
    <definedName name="TimeZones_Linux" localSheetId="5">[2]TimeZones!$C$2:$C$297</definedName>
    <definedName name="TimeZones_Linux">#REF!</definedName>
    <definedName name="UCS_Blade_Server_Spec_Info" localSheetId="5">'Configuration Model'!$A$228:$D$235</definedName>
    <definedName name="UCS_Blade_Server_Spec_Info">#REF!</definedName>
    <definedName name="Virtual_Hosts_Server_Types" localSheetId="5">'Configuration Model'!$A$125:$B$126</definedName>
    <definedName name="Virtual_Hosts_Server_Types">#REF!</definedName>
    <definedName name="Vn_Comp_FE_ASE_Cores_Per_Server" localSheetId="5">'Configuration Model'!$D$163</definedName>
    <definedName name="Vn_Comp_FE_ASE_Cores_Per_Server">#REF!</definedName>
    <definedName name="Vn_Comp_FE_ASI_Cores_Per_Server">#REF!</definedName>
    <definedName name="Vn_Comp_FE_CS_Cores_Per_Server" localSheetId="5">'Configuration Model'!$D$162</definedName>
    <definedName name="Vn_Comp_FE_CS_Cores_Per_Server">#REF!</definedName>
    <definedName name="Vn_Comp_FE_Disk_Mount_3">#REF!</definedName>
    <definedName name="Vn_Comp_FE_Disk_Space_3">#REF!</definedName>
    <definedName name="Vn_Comp_FE_OS_Distro">#REF!</definedName>
    <definedName name="Vn_Comp_FE_OS_Version">#REF!</definedName>
    <definedName name="Vn_Comp_FE_Version_ID">#REF!</definedName>
    <definedName name="Vn_Comp_HANA_Active_Servers" localSheetId="5">[2]HANA!$F$3</definedName>
    <definedName name="Vn_Comp_HANA_Active_Servers">#REF!</definedName>
    <definedName name="Vn_Comp_HANA_Backup_Capacity" localSheetId="5">[2]HANA!$F$20</definedName>
    <definedName name="Vn_Comp_HANA_Backup_Capacity">#REF!</definedName>
    <definedName name="Vn_Comp_HANA_Cores_Per_Server" localSheetId="5">[2]HANA!$F$5</definedName>
    <definedName name="Vn_Comp_HANA_Cores_Per_Server">#REF!</definedName>
    <definedName name="Vn_Comp_HANA_Machine_Type" localSheetId="5">[2]HANA!$F$12</definedName>
    <definedName name="Vn_Comp_HANA_Machine_Type">#REF!</definedName>
    <definedName name="Vn_Comp_HANA_OS_Distro">#REF!</definedName>
    <definedName name="Vn_Comp_HANA_OS_Version">#REF!</definedName>
    <definedName name="Vn_Comp_HANA_Scaling_Paradigm" localSheetId="5">[2]HANA!$F$2</definedName>
    <definedName name="Vn_Comp_HANA_Scaling_Paradigm">#REF!</definedName>
    <definedName name="Vn_Comp_HANA_Server_Type" localSheetId="5">[2]HANA!$F$11</definedName>
    <definedName name="Vn_Comp_HANA_Server_Type">#REF!</definedName>
    <definedName name="Vn_Comp_HANA_Stanby_Servers" localSheetId="5">[2]HANA!$F$8</definedName>
    <definedName name="Vn_Comp_HANA_Stanby_Servers">#REF!</definedName>
    <definedName name="Vn_Comp_HANA_Storage_hana_data" localSheetId="5">[2]HANA!$F$17</definedName>
    <definedName name="Vn_Comp_HANA_Storage_hana_data">#REF!</definedName>
    <definedName name="Vn_Comp_HANA_Storage_hana_log" localSheetId="5">[2]HANA!$F$18</definedName>
    <definedName name="Vn_Comp_HANA_Storage_hana_log">#REF!</definedName>
    <definedName name="Vn_Comp_HANA_Storage_hana_shared" localSheetId="5">[2]HANA!$F$16</definedName>
    <definedName name="Vn_Comp_HANA_Storage_hana_shared">#REF!</definedName>
    <definedName name="Vn_Comp_HANA_Storage_usr_sap" localSheetId="5">[2]HANA!$F$15</definedName>
    <definedName name="Vn_Comp_HANA_Storage_usr_sap">#REF!</definedName>
    <definedName name="Vn_Comp_HANA_Total_Servers" localSheetId="5">[2]HANA!$F$9</definedName>
    <definedName name="Vn_Comp_HANA_Total_Servers">#REF!</definedName>
    <definedName name="Vn_Comp_HANA_Version_ID">#REF!</definedName>
    <definedName name="Vn_Comp_Media_Cores_Per_Server" localSheetId="5">'Configuration Model'!$F$196</definedName>
    <definedName name="Vn_Comp_Media_Cores_Per_Server">#REF!</definedName>
    <definedName name="Vn_Comp_Media_Machine_Type" localSheetId="5">'Configuration Model'!$F$199</definedName>
    <definedName name="Vn_Comp_Media_Machine_Type">#REF!</definedName>
    <definedName name="Vn_Comp_Media_Memory_per_Server" localSheetId="5">'Configuration Model'!$F$197</definedName>
    <definedName name="Vn_Comp_Media_Memory_per_Server">#REF!</definedName>
    <definedName name="Vn_Comp_Media_OS_Distro">#REF!</definedName>
    <definedName name="Vn_Comp_Media_OS_Version">#REF!</definedName>
    <definedName name="Vn_Comp_Media_Server_Type" localSheetId="5">'Configuration Model'!$F$198</definedName>
    <definedName name="Vn_Comp_Media_Server_Type">#REF!</definedName>
    <definedName name="Vn_Comp_Media_Total_Servers" localSheetId="5">'Configuration Model'!$F$195</definedName>
    <definedName name="Vn_Comp_Media_Total_Servers">#REF!</definedName>
    <definedName name="Vn_Comp_NW_ASI_Cores_Per_Server" localSheetId="5">[2]NetWeaver!$F$6</definedName>
    <definedName name="Vn_Comp_NW_ASI_Cores_Per_Server">#REF!</definedName>
    <definedName name="Vn_Comp_NW_ASI_Machine_Type" localSheetId="5">[2]NetWeaver!$F$8</definedName>
    <definedName name="Vn_Comp_NW_ASI_Machine_Type">#REF!</definedName>
    <definedName name="Vn_Comp_NW_ASI_Server_Type" localSheetId="5">[2]NetWeaver!$F$7</definedName>
    <definedName name="Vn_Comp_NW_ASI_Server_Type">#REF!</definedName>
    <definedName name="Vn_Comp_NW_Backup_Capacity">#REF!</definedName>
    <definedName name="Vn_Comp_NW_CI_Cores_Per_Server" localSheetId="5">[2]NetWeaver!$F$3</definedName>
    <definedName name="Vn_Comp_NW_CI_Cores_Per_Server">#REF!</definedName>
    <definedName name="Vn_Comp_NW_CI_Machine_Type" localSheetId="5">[2]NetWeaver!$F$5</definedName>
    <definedName name="Vn_Comp_NW_CI_Machine_Type">#REF!</definedName>
    <definedName name="Vn_Comp_NW_CI_Server_Type" localSheetId="5">[2]NetWeaver!$F$4</definedName>
    <definedName name="Vn_Comp_NW_CI_Server_Type">#REF!</definedName>
    <definedName name="Vn_Comp_NW_Disk_Mount_1">#REF!</definedName>
    <definedName name="Vn_Comp_NW_Disk_Mount_2">#REF!</definedName>
    <definedName name="Vn_Comp_NW_Disk_Mount_3">#REF!</definedName>
    <definedName name="Vn_Comp_NW_Disk_Space_1">#REF!</definedName>
    <definedName name="Vn_Comp_NW_Disk_Space_2">#REF!</definedName>
    <definedName name="Vn_Comp_NW_Disk_Space_3">#REF!</definedName>
    <definedName name="Vn_Comp_NW_Function">#REF!</definedName>
    <definedName name="Vn_Comp_NW_OS_Distro">#REF!</definedName>
    <definedName name="Vn_Comp_NW_OS_Version">#REF!</definedName>
    <definedName name="Vn_Comp_NW_Total_Servers" localSheetId="5">[2]NetWeaver!$F$2</definedName>
    <definedName name="Vn_Comp_NW_Total_Servers">#REF!</definedName>
    <definedName name="Vn_Comp_NW_Version_ID">#REF!</definedName>
    <definedName name="Vn_Comp_SC_Cores_Per_Server" localSheetId="5">'Configuration Model'!$E$166</definedName>
    <definedName name="Vn_Comp_SC_Cores_Per_Server">#REF!</definedName>
    <definedName name="Vn_Comp_SC_Memory_Per_Server" localSheetId="5">'Configuration Model'!$C$166</definedName>
    <definedName name="Vn_Comp_SC_Memory_Per_Server">#REF!</definedName>
    <definedName name="Vn_Comp_Servers_Machine_Type">#REF!</definedName>
    <definedName name="Vn_Comp_Servers_Memory_per_Server">#REF!</definedName>
    <definedName name="Vn_Comp_Servers_OS_Distro">#REF!</definedName>
    <definedName name="Vn_Comp_Servers_OS_Version">#REF!</definedName>
    <definedName name="Vn_Comp_Servers_Server_Type">#REF!</definedName>
    <definedName name="Vn_Comp_Transport_OS_Distro">#REF!</definedName>
    <definedName name="Vn_Comp_Transport_OS_Version">#REF!</definedName>
    <definedName name="Vn_Comp_VH_CI_Server_Type">#REF!</definedName>
    <definedName name="Vn_Comp_VH_Hypervisor_Distro">#REF!</definedName>
    <definedName name="Vn_Comp_VH_Hypervisor_Version">#REF!</definedName>
    <definedName name="Vn_Comp_VH_UCS_Blade_Server_Chassis_1">#REF!</definedName>
    <definedName name="Vn_Comp_VH_UCS_Blade_Server_Chassis_2">#REF!</definedName>
    <definedName name="Vn_Comp_VH_UCS_Blade_Server_Chassis_3">#REF!</definedName>
    <definedName name="Vn_Comp_VH_UCS_Blade_Server_Chassis_4">#REF!</definedName>
    <definedName name="Vn_Comp_VH_UCS_Blade_Server_Domain_1">#REF!</definedName>
    <definedName name="Vn_Comp_VH_UCS_Blade_Server_Domain_2">#REF!</definedName>
    <definedName name="Vn_Comp_VH_UCS_Blade_Server_Domain_3">#REF!</definedName>
    <definedName name="Vn_Comp_VH_UCS_Blade_Server_Domain_4">#REF!</definedName>
    <definedName name="Vn_Comp_VH_UCS_Blade_Server_Slot_1">#REF!</definedName>
    <definedName name="Vn_Comp_VH_UCS_Blade_Server_Slot_2">#REF!</definedName>
    <definedName name="Vn_Comp_VH_UCS_Blade_Server_Slot_3">#REF!</definedName>
    <definedName name="Vn_Comp_VH_UCS_Blade_Server_Slot_4">#REF!</definedName>
    <definedName name="Vn_Input_ASE_OS_Password" localSheetId="5">'Configuration Model'!$B$164</definedName>
    <definedName name="Vn_Input_ASE_OS_Password">#REF!</definedName>
    <definedName name="Vn_Input_Business_Unit">#REF!</definedName>
    <definedName name="Vn_Input_CustomerID">#REF!</definedName>
    <definedName name="Vn_Input_DatacenterID">#REF!</definedName>
    <definedName name="Vn_Input_Disk_Mount_1" localSheetId="5">'Configuration Model'!$B$222</definedName>
    <definedName name="Vn_Input_Disk_Mount_1">#REF!</definedName>
    <definedName name="Vn_Input_Disk_Space_1" localSheetId="5">'Configuration Model'!$B$221</definedName>
    <definedName name="Vn_Input_Disk_Space_1">#REF!</definedName>
    <definedName name="Vn_Input_FE_ASE_Memory" localSheetId="5">'Configuration Model'!$C$163</definedName>
    <definedName name="Vn_Input_FE_ASE_Memory">#REF!</definedName>
    <definedName name="Vn_Input_FE_CS_Memory" localSheetId="5">'Configuration Model'!$C$162</definedName>
    <definedName name="Vn_Input_FE_CS_Memory">#REF!</definedName>
    <definedName name="Vn_Input_FE_Deployment_Name" localSheetId="5">'[2]Front End'!$B$2</definedName>
    <definedName name="Vn_Input_FE_Deployment_Name">#REF!</definedName>
    <definedName name="Vn_Input_FE_OS">#REF!</definedName>
    <definedName name="Vn_Input_FE_Production" localSheetId="5">'[2]Front End'!$B$3</definedName>
    <definedName name="Vn_Input_FE_Production">#REF!</definedName>
    <definedName name="Vn_Input_FS_Type_1" localSheetId="5">'Configuration Model'!$B$223</definedName>
    <definedName name="Vn_Input_FS_Type_1">#REF!</definedName>
    <definedName name="Vn_Input_HANA_Deployment_Name" localSheetId="5">[2]HANA!$B$2</definedName>
    <definedName name="Vn_Input_HANA_Deployment_Name">#REF!</definedName>
    <definedName name="Vn_Input_HANA_HA" localSheetId="5">[2]HANA!$B$7</definedName>
    <definedName name="Vn_Input_HANA_HA">#REF!</definedName>
    <definedName name="Vn_Input_HANA_Memory" localSheetId="5">[2]HANA!$B$6</definedName>
    <definedName name="Vn_Input_HANA_Memory">#REF!</definedName>
    <definedName name="Vn_Input_HANA_OS" localSheetId="5">[2]HANA!$B$10</definedName>
    <definedName name="Vn_Input_HANA_OS">#REF!</definedName>
    <definedName name="Vn_Input_HANA_OS_Password" localSheetId="5">[2]HANA!$B$11</definedName>
    <definedName name="Vn_Input_HANA_OS_Password">#REF!</definedName>
    <definedName name="Vn_Input_HANA_Password" localSheetId="5">[2]HANA!$B$9</definedName>
    <definedName name="Vn_Input_HANA_Password">#REF!</definedName>
    <definedName name="Vn_Input_HANA_Production" localSheetId="5">[2]HANA!$B$3</definedName>
    <definedName name="Vn_Input_HANA_Production">#REF!</definedName>
    <definedName name="Vn_Input_HANA_SID" localSheetId="5">[2]HANA!$B$8</definedName>
    <definedName name="Vn_Input_HANA_SID">#REF!</definedName>
    <definedName name="Vn_Input_HANA_TimeZone" localSheetId="5">[2]HANA!$B$12</definedName>
    <definedName name="Vn_Input_HANA_TimeZone">#REF!</definedName>
    <definedName name="Vn_Input_HANA_Version" localSheetId="5">[2]HANA!$B$5</definedName>
    <definedName name="Vn_Input_HANA_Version">#REF!</definedName>
    <definedName name="Vn_Input_HANA_Workload" localSheetId="5">[2]HANA!$B$4</definedName>
    <definedName name="Vn_Input_HANA_Workload">#REF!</definedName>
    <definedName name="Vn_Input_InfrastructureID">#REF!</definedName>
    <definedName name="Vn_Input_Media_Deployment_Name" localSheetId="5">'Configuration Model'!$B$195</definedName>
    <definedName name="Vn_Input_Media_Deployment_Name">#REF!</definedName>
    <definedName name="Vn_Input_Media_Disk_Mount_1" localSheetId="5">'Configuration Model'!$B$203</definedName>
    <definedName name="Vn_Input_Media_Disk_Mount_1">#REF!</definedName>
    <definedName name="Vn_Input_Media_Disk_Mount_2" localSheetId="5">'Configuration Model'!$B$206</definedName>
    <definedName name="Vn_Input_Media_Disk_Mount_2">#REF!</definedName>
    <definedName name="Vn_Input_Media_Disk_Mount_3" localSheetId="5">'Configuration Model'!$B$209</definedName>
    <definedName name="Vn_Input_Media_Disk_Mount_3">#REF!</definedName>
    <definedName name="Vn_Input_Media_Disk_Mount_4" localSheetId="5">'Configuration Model'!$B$212</definedName>
    <definedName name="Vn_Input_Media_Disk_Mount_4">#REF!</definedName>
    <definedName name="Vn_Input_Media_Disk_Space_1" localSheetId="5">'Configuration Model'!$B$202</definedName>
    <definedName name="Vn_Input_Media_Disk_Space_1">#REF!</definedName>
    <definedName name="Vn_Input_Media_Disk_Space_2" localSheetId="5">'Configuration Model'!$B$205</definedName>
    <definedName name="Vn_Input_Media_Disk_Space_2">#REF!</definedName>
    <definedName name="Vn_Input_Media_Disk_Space_3" localSheetId="5">'Configuration Model'!$B$208</definedName>
    <definedName name="Vn_Input_Media_Disk_Space_3">#REF!</definedName>
    <definedName name="Vn_Input_Media_Disk_Space_4" localSheetId="5">'Configuration Model'!$B$211</definedName>
    <definedName name="Vn_Input_Media_Disk_Space_4">#REF!</definedName>
    <definedName name="Vn_Input_Media_FS_Type_1" localSheetId="5">'Configuration Model'!$B$204</definedName>
    <definedName name="Vn_Input_Media_FS_Type_1">#REF!</definedName>
    <definedName name="Vn_Input_Media_FS_Type_2" localSheetId="5">'Configuration Model'!$B$207</definedName>
    <definedName name="Vn_Input_Media_FS_Type_2">#REF!</definedName>
    <definedName name="Vn_Input_Media_FS_Type_3" localSheetId="5">'Configuration Model'!$B$210</definedName>
    <definedName name="Vn_Input_Media_FS_Type_3">#REF!</definedName>
    <definedName name="Vn_Input_Media_FS_Type_4" localSheetId="5">'Configuration Model'!$B$213</definedName>
    <definedName name="Vn_Input_Media_FS_Type_4">#REF!</definedName>
    <definedName name="Vn_Input_Media_Memory" localSheetId="5">'Configuration Model'!$B$196</definedName>
    <definedName name="Vn_Input_Media_Memory">#REF!</definedName>
    <definedName name="Vn_Input_Media_OS" localSheetId="5">'Configuration Model'!$B$199</definedName>
    <definedName name="Vn_Input_Media_OS">#REF!</definedName>
    <definedName name="Vn_Input_Media_OS_Password" localSheetId="5">'Configuration Model'!$B$200</definedName>
    <definedName name="Vn_Input_Media_OS_Password">#REF!</definedName>
    <definedName name="Vn_Input_Media_Production" localSheetId="5">'Configuration Model'!$B$197</definedName>
    <definedName name="Vn_Input_Media_Production">#REF!</definedName>
    <definedName name="Vn_Input_Media_Provision" localSheetId="5">'[2]Customer Services'!$B$3</definedName>
    <definedName name="Vn_Input_Media_Provision">#REF!</definedName>
    <definedName name="Vn_Input_Media_Servers" localSheetId="5">'Configuration Model'!$B$198</definedName>
    <definedName name="Vn_Input_Media_Servers">#REF!</definedName>
    <definedName name="Vn_Input_Media_TimeZone" localSheetId="5">'Configuration Model'!$B$201</definedName>
    <definedName name="Vn_Input_Media_TimeZone">#REF!</definedName>
    <definedName name="Vn_Input_NS_Deployment_Name" localSheetId="5">'Configuration Model'!$B$218</definedName>
    <definedName name="Vn_Input_NS_Deployment_Name">#REF!</definedName>
    <definedName name="Vn_Input_NS_HA" localSheetId="5">'Configuration Model'!$B$217</definedName>
    <definedName name="Vn_Input_NS_HA">#REF!</definedName>
    <definedName name="Vn_Input_NW_ASI_Memory" localSheetId="5">[2]NetWeaver!$B$8</definedName>
    <definedName name="Vn_Input_NW_ASI_Memory">#REF!</definedName>
    <definedName name="Vn_Input_NW_ASI_Servers" localSheetId="5">[2]NetWeaver!$B$9</definedName>
    <definedName name="Vn_Input_NW_ASI_Servers">#REF!</definedName>
    <definedName name="Vn_Input_NW_CI_Memory" localSheetId="5">[2]NetWeaver!$B$7</definedName>
    <definedName name="Vn_Input_NW_CI_Memory">#REF!</definedName>
    <definedName name="Vn_Input_NW_DB_Deployment_Name" localSheetId="5">[2]NetWeaver!$B$17</definedName>
    <definedName name="Vn_Input_NW_DB_Deployment_Name">#REF!</definedName>
    <definedName name="Vn_Input_NW_DB_Host" localSheetId="5">[2]NetWeaver!$B$21</definedName>
    <definedName name="Vn_Input_NW_DB_Host">#REF!</definedName>
    <definedName name="Vn_Input_NW_DB_Password" localSheetId="5">[2]NetWeaver!$B$20</definedName>
    <definedName name="Vn_Input_NW_DB_Password">#REF!</definedName>
    <definedName name="Vn_Input_NW_DB_Port" localSheetId="5">[2]NetWeaver!$B$22</definedName>
    <definedName name="Vn_Input_NW_DB_Port">#REF!</definedName>
    <definedName name="Vn_Input_NW_DB_Schema_Name" localSheetId="5">[2]NetWeaver!$B$19</definedName>
    <definedName name="Vn_Input_NW_DB_Schema_Name">#REF!</definedName>
    <definedName name="Vn_Input_NW_DB_SID" localSheetId="5">[2]NetWeaver!$B$18</definedName>
    <definedName name="Vn_Input_NW_DB_SID">#REF!</definedName>
    <definedName name="Vn_Input_NW_Deployment_Name" localSheetId="5">[2]NetWeaver!$B$2</definedName>
    <definedName name="Vn_Input_NW_Deployment_Name">#REF!</definedName>
    <definedName name="Vn_Input_NW_FE_Admin_Name">#REF!</definedName>
    <definedName name="Vn_Input_NW_FE_DB_Host">#REF!</definedName>
    <definedName name="Vn_Input_NW_FE_DB_Port">#REF!</definedName>
    <definedName name="Vn_Input_NW_FE_Deployment_Name">#REF!</definedName>
    <definedName name="Vn_Input_NW_FE_Password">#REF!</definedName>
    <definedName name="Vn_Input_NW_FE_SID">#REF!</definedName>
    <definedName name="Vn_Input_NW_HA" localSheetId="5">[2]NetWeaver!$B$10</definedName>
    <definedName name="Vn_Input_NW_HA">#REF!</definedName>
    <definedName name="Vn_Input_NW_Landscape_ID" localSheetId="5">[2]NetWeaver!$B$15</definedName>
    <definedName name="Vn_Input_NW_Landscape_ID">#REF!</definedName>
    <definedName name="Vn_Input_NW_Master_Password" localSheetId="5">[2]NetWeaver!$B$11</definedName>
    <definedName name="Vn_Input_NW_Master_Password">#REF!</definedName>
    <definedName name="Vn_Input_NW_OS" localSheetId="5">[2]NetWeaver!$B$12</definedName>
    <definedName name="Vn_Input_NW_OS">#REF!</definedName>
    <definedName name="Vn_Input_NW_OS_Password" localSheetId="5">[2]NetWeaver!$B$13</definedName>
    <definedName name="Vn_Input_NW_OS_Password">#REF!</definedName>
    <definedName name="Vn_Input_NW_Production" localSheetId="5">[2]NetWeaver!$B$3</definedName>
    <definedName name="Vn_Input_NW_Production">#REF!</definedName>
    <definedName name="Vn_Input_NW_SID" localSheetId="5">[2]NetWeaver!$B$6</definedName>
    <definedName name="Vn_Input_NW_SID">#REF!</definedName>
    <definedName name="Vn_Input_NW_Stack" localSheetId="5">[2]NetWeaver!$B$5</definedName>
    <definedName name="Vn_Input_NW_Stack">#REF!</definedName>
    <definedName name="Vn_Input_NW_TimeZone" localSheetId="5">[2]NetWeaver!$B$14</definedName>
    <definedName name="Vn_Input_NW_TimeZone">#REF!</definedName>
    <definedName name="Vn_Input_NW_Version" localSheetId="5">[2]NetWeaver!$B$4</definedName>
    <definedName name="Vn_Input_NW_Version">#REF!</definedName>
    <definedName name="Vn_Input_SC_Memory" localSheetId="5">'Configuration Model'!$B$166</definedName>
    <definedName name="Vn_Input_SC_Memory">#REF!</definedName>
    <definedName name="Vn_Input_Servers_Deployment_Name" localSheetId="5">[2]Servers!$B$2</definedName>
    <definedName name="Vn_Input_Servers_Deployment_Name">#REF!</definedName>
    <definedName name="Vn_Input_Servers_Disk_Mount_1">#REF!</definedName>
    <definedName name="Vn_Input_Servers_Disk_Mount_2">#REF!</definedName>
    <definedName name="Vn_Input_Servers_Disk_Mount_3">#REF!</definedName>
    <definedName name="Vn_Input_Servers_Disk_Mount_4">#REF!</definedName>
    <definedName name="Vn_Input_Servers_Disk_Space_1" localSheetId="5">[2]Servers!$B$9</definedName>
    <definedName name="Vn_Input_Servers_Disk_Space_1">#REF!</definedName>
    <definedName name="Vn_Input_Servers_Disk_Space_2" localSheetId="5">[2]Servers!$B$12</definedName>
    <definedName name="Vn_Input_Servers_Disk_Space_2">#REF!</definedName>
    <definedName name="Vn_Input_Servers_Disk_Space_3" localSheetId="5">[2]Servers!$B$15</definedName>
    <definedName name="Vn_Input_Servers_Disk_Space_3">#REF!</definedName>
    <definedName name="Vn_Input_Servers_Disk_Space_4" localSheetId="5">[2]Servers!$B$18</definedName>
    <definedName name="Vn_Input_Servers_Disk_Space_4">#REF!</definedName>
    <definedName name="Vn_Input_Servers_FS_Type_1">#REF!</definedName>
    <definedName name="Vn_Input_Servers_FS_Type_2">#REF!</definedName>
    <definedName name="Vn_Input_Servers_FS_Type_3">#REF!</definedName>
    <definedName name="Vn_Input_Servers_FS_Type_4">#REF!</definedName>
    <definedName name="Vn_Input_Servers_Memory">#REF!</definedName>
    <definedName name="Vn_Input_Servers_OS">#REF!</definedName>
    <definedName name="Vn_Input_Servers_Production" localSheetId="5">[2]Servers!$B$4</definedName>
    <definedName name="Vn_Input_Servers_Production">#REF!</definedName>
    <definedName name="Vn_Input_Servers_Servers" localSheetId="5">[2]Servers!$B$5</definedName>
    <definedName name="Vn_Input_Servers_Servers">#REF!</definedName>
    <definedName name="Vn_Input_SnapCreator_Password" localSheetId="5">[2]HANA!$B$13</definedName>
    <definedName name="Vn_Input_SnapCreator_Password">#REF!</definedName>
    <definedName name="Vn_Input_Transport_Deployment_Name" localSheetId="5">[2]Transport!$B$2</definedName>
    <definedName name="Vn_Input_Transport_Deployment_Name">[1]Transport!$B$2</definedName>
    <definedName name="Vn_Input_Transport_Landscape_ID">#REF!</definedName>
    <definedName name="Vn_Input_Transport_OS">#REF!</definedName>
    <definedName name="Vn_Input_VH_Deployment_Name" localSheetId="5">'[2]Virtual Hosts'!$B$2</definedName>
    <definedName name="Vn_Input_VH_Deployment_Name">#REF!</definedName>
    <definedName name="Vn_Input_VH_Hypervisor" localSheetId="5">'[2]Virtual Hosts'!$B$6</definedName>
    <definedName name="Vn_Input_VH_Hypervisor">#REF!</definedName>
    <definedName name="Vn_Input_VH_License_1">#REF!</definedName>
    <definedName name="Vn_Input_VH_License_2">#REF!</definedName>
    <definedName name="Vn_Input_VH_License_3">#REF!</definedName>
    <definedName name="Vn_Input_VH_License_4">#REF!</definedName>
    <definedName name="Vn_Input_VH_Memory">#REF!</definedName>
    <definedName name="Vn_Input_VH_Production" localSheetId="5">'[2]Virtual Hosts'!$B$3</definedName>
    <definedName name="Vn_Input_VH_Production">#REF!</definedName>
    <definedName name="Vn_Input_VH_Servers" localSheetId="5">'[2]Virtual Hosts'!$F$2</definedName>
    <definedName name="Vn_Input_VH_Servers">#REF!</definedName>
    <definedName name="Vn_Input_VH_UCS_Blade_Server_1" localSheetId="5">'[2]Virtual Hosts'!$B$7</definedName>
    <definedName name="Vn_Input_VH_UCS_Blade_Server_1">#REF!</definedName>
    <definedName name="Vn_Input_VH_UCS_Blade_Server_2" localSheetId="5">'[2]Virtual Hosts'!$B$9</definedName>
    <definedName name="Vn_Input_VH_UCS_Blade_Server_2">#REF!</definedName>
    <definedName name="Vn_Input_VH_UCS_Blade_Server_3" localSheetId="5">'[2]Virtual Hosts'!$B$11</definedName>
    <definedName name="Vn_Input_VH_UCS_Blade_Server_3">#REF!</definedName>
    <definedName name="Vn_Input_VH_UCS_Blade_Server_4" localSheetId="5">'[2]Virtual Hosts'!$B$13</definedName>
    <definedName name="Vn_Input_VH_UCS_Blade_Server_4">#REF!</definedName>
    <definedName name="Vn_Meta_ClusterDRS_Def_VM_Behavior" localSheetId="5">'Configuration Model'!$D$132</definedName>
    <definedName name="Vn_Meta_ClusterDRS_Def_VM_Behavior">#REF!</definedName>
    <definedName name="Vn_Meta_ClusterDRS_Enabled" localSheetId="5">'Configuration Model'!$B$132</definedName>
    <definedName name="Vn_Meta_ClusterDRS_Enabled">#REF!</definedName>
    <definedName name="Vn_Meta_ClusterDRS_Vmotion_Rate" localSheetId="5">'Configuration Model'!$C$132</definedName>
    <definedName name="Vn_Meta_ClusterDRS_Vmotion_Rate">#REF!</definedName>
    <definedName name="Vn_Meta_Customer_Order" localSheetId="5">'Configuration Model'!$H$148</definedName>
    <definedName name="Vn_Meta_Customer_Order">#REF!</definedName>
    <definedName name="Vn_Meta_Deployment_Order" localSheetId="5">'Configuration Model'!$H$149</definedName>
    <definedName name="Vn_Meta_Deployment_Order">#REF!</definedName>
    <definedName name="Vn_Meta_FE_ServiceModel" localSheetId="5">'Configuration Model'!$G$4</definedName>
    <definedName name="Vn_Meta_FE_ServiceModel">#REF!</definedName>
    <definedName name="Vn_Meta_HANA_ServiceModel" localSheetId="5">'Configuration Model'!$G$2</definedName>
    <definedName name="Vn_Meta_HANA_ServiceModel">#REF!</definedName>
    <definedName name="Vn_Meta_Model_Major_Version" localSheetId="5">'Configuration Model'!$Q$1</definedName>
    <definedName name="Vn_Meta_Model_Major_Version">#REF!</definedName>
    <definedName name="Vn_Meta_Model_Minor_Version" localSheetId="5">'Configuration Model'!$Q$2</definedName>
    <definedName name="Vn_Meta_Model_Minor_Version">#REF!</definedName>
    <definedName name="Vn_Meta_Model_Version" localSheetId="5">'Configuration Model'!$H$1</definedName>
    <definedName name="Vn_Meta_Model_Version">#REF!</definedName>
    <definedName name="Vn_Meta_NW_ServiceModel" localSheetId="5">'Configuration Model'!$G$3</definedName>
    <definedName name="Vn_Meta_NW_ServiceModel">#REF!</definedName>
    <definedName name="Vn_Meta_Servers_ServiceModel" localSheetId="5">'Configuration Model'!$G$5</definedName>
    <definedName name="Vn_Meta_Servers_ServiceModel">#REF!</definedName>
    <definedName name="Vn_Meta_ServiceModels" localSheetId="5">'Configuration Model'!$G$2:$G$9</definedName>
    <definedName name="Vn_Meta_ServiceModels">#REF!</definedName>
    <definedName name="Vn_Meta_VH_ServiceModel" localSheetId="5">'Configuration Model'!$G$6</definedName>
    <definedName name="Vn_Meta_VH_ServiceModel">#REF!</definedName>
    <definedName name="Vn_Meta_VM_CapacityEnforcement" localSheetId="5">'Configuration Model'!$B$129</definedName>
    <definedName name="Vn_Meta_VM_CapacityEnforcement">#REF!</definedName>
    <definedName name="Vn_Meta_VM_MemRes_LatSenLevel" localSheetId="5">'Configuration Model'!$G$148</definedName>
    <definedName name="Vn_Meta_VM_MemRes_LatSenLevel">#REF!</definedName>
    <definedName name="Vn_Meta_VM_MemRes_LockToMax" localSheetId="5">'Configuration Model'!$F$148</definedName>
    <definedName name="Vn_Meta_VM_MemRes_LockToMax">#REF!</definedName>
    <definedName name="VSphere_DRS_Behavior" localSheetId="5">'Configuration Model'!$A$135:$A$137</definedName>
    <definedName name="VSphere_DRS_Behavior">#REF!</definedName>
    <definedName name="VSphere_Latency_Sensitivity_Sensitivity_Level" localSheetId="5">'Configuration Model'!$A$140:$A$144</definedName>
    <definedName name="VSphere_Latency_Sensitivity_Sensitivity_Level">#REF!</definedName>
    <definedName name="VSphere_VM_Max_Memory" localSheetId="5">'Configuration Model'!$F$35</definedName>
    <definedName name="VSphere_VM_Max_Memory">#REF!</definedName>
    <definedName name="Yes" localSheetId="5">'Configuration Model'!$K$2</definedName>
    <definedName name="Yes">#REF!</definedName>
    <definedName name="YES_NO" localSheetId="5">'Configuration Model'!$K$2:$K$3</definedName>
    <definedName name="YES_NO">#REF!</definedName>
  </definedNames>
  <calcPr calcId="171027" concurrentCalc="0"/>
  <customWorkbookViews>
    <customWorkbookView name="Derek Palma - Personal View" guid="{EA09406D-8CAC-4BE7-8235-8064DA48D88A}" mergeInterval="0" personalView="1" maximized="1" windowWidth="2560" windowHeight="1186" activeSheetId="4"/>
    <customWorkbookView name="dpalma - Personal View" guid="{8FD648F0-31E2-496B-9C5F-9CEE5AB9B050}" mergeInterval="0" personalView="1" maximized="1" xWindow="-8" yWindow="-8" windowWidth="1936" windowHeight="1056" activeSheetId="7"/>
  </customWorkbookViews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59" i="25" l="1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F202" i="25"/>
  <c r="F203" i="25"/>
  <c r="B202" i="25"/>
  <c r="A110" i="25"/>
  <c r="A49" i="25"/>
  <c r="E110" i="25"/>
  <c r="F199" i="25"/>
  <c r="F198" i="25"/>
  <c r="C110" i="25"/>
  <c r="F197" i="25"/>
  <c r="F196" i="25"/>
  <c r="F195" i="25"/>
  <c r="B195" i="25"/>
  <c r="D76" i="25"/>
  <c r="B185" i="25"/>
  <c r="D178" i="25"/>
  <c r="D179" i="25"/>
  <c r="D180" i="25"/>
  <c r="D181" i="25"/>
  <c r="G178" i="25"/>
  <c r="G179" i="25"/>
  <c r="G180" i="25"/>
  <c r="G181" i="25"/>
  <c r="B190" i="25"/>
  <c r="F178" i="25"/>
  <c r="F179" i="25"/>
  <c r="F180" i="25"/>
  <c r="F181" i="25"/>
  <c r="B189" i="25"/>
  <c r="B188" i="25"/>
  <c r="B187" i="25"/>
  <c r="B186" i="25"/>
  <c r="D186" i="25"/>
  <c r="A181" i="25"/>
  <c r="A180" i="25"/>
  <c r="A179" i="25"/>
  <c r="A178" i="25"/>
  <c r="G177" i="25"/>
  <c r="F177" i="25"/>
  <c r="E177" i="25"/>
  <c r="D177" i="25"/>
  <c r="C177" i="25"/>
  <c r="B177" i="25"/>
  <c r="D173" i="25"/>
  <c r="D174" i="25"/>
  <c r="D175" i="25"/>
  <c r="G175" i="25"/>
  <c r="F175" i="25"/>
  <c r="A175" i="25"/>
  <c r="G174" i="25"/>
  <c r="F174" i="25"/>
  <c r="A174" i="25"/>
  <c r="G173" i="25"/>
  <c r="F173" i="25"/>
  <c r="A173" i="25"/>
  <c r="E166" i="25"/>
  <c r="C166" i="25"/>
  <c r="D163" i="25"/>
  <c r="C163" i="25"/>
  <c r="D162" i="25"/>
  <c r="C162" i="25"/>
  <c r="F149" i="25"/>
  <c r="F150" i="25"/>
  <c r="F151" i="25"/>
  <c r="F152" i="25"/>
  <c r="F153" i="25"/>
  <c r="F154" i="25"/>
  <c r="H149" i="25"/>
  <c r="H148" i="25"/>
  <c r="G148" i="25"/>
  <c r="F148" i="25"/>
  <c r="B126" i="25"/>
  <c r="A126" i="25"/>
  <c r="B125" i="25"/>
  <c r="A125" i="25"/>
  <c r="E118" i="25"/>
  <c r="C118" i="25"/>
  <c r="A118" i="25"/>
  <c r="E117" i="25"/>
  <c r="C117" i="25"/>
  <c r="A117" i="25"/>
  <c r="E116" i="25"/>
  <c r="C116" i="25"/>
  <c r="A116" i="25"/>
  <c r="E115" i="25"/>
  <c r="C115" i="25"/>
  <c r="A115" i="25"/>
  <c r="E114" i="25"/>
  <c r="C114" i="25"/>
  <c r="A114" i="25"/>
  <c r="E113" i="25"/>
  <c r="C113" i="25"/>
  <c r="A113" i="25"/>
  <c r="E112" i="25"/>
  <c r="C112" i="25"/>
  <c r="A112" i="25"/>
  <c r="E111" i="25"/>
  <c r="C111" i="25"/>
  <c r="A111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N1" i="25"/>
  <c r="B85" i="25"/>
  <c r="D82" i="25"/>
  <c r="B25" i="25"/>
  <c r="S82" i="25"/>
  <c r="N2" i="25"/>
  <c r="E30" i="25"/>
  <c r="B35" i="25"/>
  <c r="H25" i="25"/>
  <c r="B50" i="25"/>
  <c r="T82" i="25"/>
  <c r="V82" i="25"/>
  <c r="U82" i="25"/>
  <c r="X82" i="25"/>
  <c r="W82" i="25"/>
  <c r="E25" i="25"/>
  <c r="F25" i="25"/>
  <c r="G25" i="25"/>
  <c r="O82" i="25"/>
  <c r="B26" i="25"/>
  <c r="I82" i="25"/>
  <c r="B37" i="25"/>
  <c r="H26" i="25"/>
  <c r="B51" i="25"/>
  <c r="J82" i="25"/>
  <c r="G82" i="25"/>
  <c r="L82" i="25"/>
  <c r="K82" i="25"/>
  <c r="N82" i="25"/>
  <c r="M82" i="25"/>
  <c r="E26" i="25"/>
  <c r="F26" i="25"/>
  <c r="G26" i="25"/>
  <c r="E82" i="25"/>
  <c r="C82" i="25"/>
  <c r="D81" i="25"/>
  <c r="S81" i="25"/>
  <c r="T81" i="25"/>
  <c r="V81" i="25"/>
  <c r="U81" i="25"/>
  <c r="X81" i="25"/>
  <c r="W81" i="25"/>
  <c r="I81" i="25"/>
  <c r="J81" i="25"/>
  <c r="G81" i="25"/>
  <c r="L81" i="25"/>
  <c r="K81" i="25"/>
  <c r="N81" i="25"/>
  <c r="M81" i="25"/>
  <c r="C81" i="25"/>
  <c r="D80" i="25"/>
  <c r="P80" i="25"/>
  <c r="S80" i="25"/>
  <c r="A38" i="25"/>
  <c r="A39" i="25"/>
  <c r="D30" i="25"/>
  <c r="B34" i="25"/>
  <c r="B36" i="25"/>
  <c r="F30" i="25"/>
  <c r="B38" i="25"/>
  <c r="G30" i="25"/>
  <c r="B39" i="25"/>
  <c r="D31" i="25"/>
  <c r="B40" i="25"/>
  <c r="E31" i="25"/>
  <c r="B41" i="25"/>
  <c r="B42" i="25"/>
  <c r="B43" i="25"/>
  <c r="A44" i="25"/>
  <c r="F31" i="25"/>
  <c r="B44" i="25"/>
  <c r="A45" i="25"/>
  <c r="G31" i="25"/>
  <c r="B45" i="25"/>
  <c r="B49" i="25"/>
  <c r="T80" i="25"/>
  <c r="Q80" i="25"/>
  <c r="V80" i="25"/>
  <c r="U80" i="25"/>
  <c r="X80" i="25"/>
  <c r="W80" i="25"/>
  <c r="F80" i="25"/>
  <c r="I80" i="25"/>
  <c r="J80" i="25"/>
  <c r="G80" i="25"/>
  <c r="L80" i="25"/>
  <c r="K80" i="25"/>
  <c r="N80" i="25"/>
  <c r="M80" i="25"/>
  <c r="C80" i="25"/>
  <c r="A80" i="25"/>
  <c r="D79" i="25"/>
  <c r="P79" i="25"/>
  <c r="S79" i="25"/>
  <c r="T79" i="25"/>
  <c r="Q79" i="25"/>
  <c r="V79" i="25"/>
  <c r="U79" i="25"/>
  <c r="X79" i="25"/>
  <c r="W79" i="25"/>
  <c r="F79" i="25"/>
  <c r="I79" i="25"/>
  <c r="J79" i="25"/>
  <c r="G79" i="25"/>
  <c r="L79" i="25"/>
  <c r="K79" i="25"/>
  <c r="N79" i="25"/>
  <c r="M79" i="25"/>
  <c r="D78" i="25"/>
  <c r="P78" i="25"/>
  <c r="S78" i="25"/>
  <c r="T78" i="25"/>
  <c r="Q78" i="25"/>
  <c r="V78" i="25"/>
  <c r="U78" i="25"/>
  <c r="X78" i="25"/>
  <c r="W78" i="25"/>
  <c r="F78" i="25"/>
  <c r="I78" i="25"/>
  <c r="J78" i="25"/>
  <c r="G78" i="25"/>
  <c r="L78" i="25"/>
  <c r="K78" i="25"/>
  <c r="N78" i="25"/>
  <c r="M78" i="25"/>
  <c r="D77" i="25"/>
  <c r="P77" i="25"/>
  <c r="S77" i="25"/>
  <c r="T77" i="25"/>
  <c r="Q77" i="25"/>
  <c r="V77" i="25"/>
  <c r="U77" i="25"/>
  <c r="X77" i="25"/>
  <c r="W77" i="25"/>
  <c r="F77" i="25"/>
  <c r="I77" i="25"/>
  <c r="J77" i="25"/>
  <c r="G77" i="25"/>
  <c r="L77" i="25"/>
  <c r="K77" i="25"/>
  <c r="N77" i="25"/>
  <c r="M77" i="25"/>
  <c r="P76" i="25"/>
  <c r="S76" i="25"/>
  <c r="T76" i="25"/>
  <c r="Q76" i="25"/>
  <c r="V76" i="25"/>
  <c r="U76" i="25"/>
  <c r="X76" i="25"/>
  <c r="W76" i="25"/>
  <c r="F76" i="25"/>
  <c r="I76" i="25"/>
  <c r="J76" i="25"/>
  <c r="G76" i="25"/>
  <c r="L76" i="25"/>
  <c r="K76" i="25"/>
  <c r="N76" i="25"/>
  <c r="M76" i="25"/>
  <c r="D71" i="25"/>
  <c r="S71" i="25"/>
  <c r="T71" i="25"/>
  <c r="V71" i="25"/>
  <c r="U71" i="25"/>
  <c r="X71" i="25"/>
  <c r="W71" i="25"/>
  <c r="O71" i="25"/>
  <c r="I71" i="25"/>
  <c r="J71" i="25"/>
  <c r="G71" i="25"/>
  <c r="L71" i="25"/>
  <c r="K71" i="25"/>
  <c r="N71" i="25"/>
  <c r="M71" i="25"/>
  <c r="E71" i="25"/>
  <c r="C71" i="25"/>
  <c r="D70" i="25"/>
  <c r="S70" i="25"/>
  <c r="T70" i="25"/>
  <c r="V70" i="25"/>
  <c r="U70" i="25"/>
  <c r="X70" i="25"/>
  <c r="W70" i="25"/>
  <c r="O70" i="25"/>
  <c r="I70" i="25"/>
  <c r="J70" i="25"/>
  <c r="G70" i="25"/>
  <c r="L70" i="25"/>
  <c r="K70" i="25"/>
  <c r="N70" i="25"/>
  <c r="M70" i="25"/>
  <c r="E70" i="25"/>
  <c r="C70" i="25"/>
  <c r="D69" i="25"/>
  <c r="S69" i="25"/>
  <c r="T69" i="25"/>
  <c r="V69" i="25"/>
  <c r="U69" i="25"/>
  <c r="X69" i="25"/>
  <c r="W69" i="25"/>
  <c r="O69" i="25"/>
  <c r="I69" i="25"/>
  <c r="J69" i="25"/>
  <c r="G69" i="25"/>
  <c r="L69" i="25"/>
  <c r="K69" i="25"/>
  <c r="N69" i="25"/>
  <c r="M69" i="25"/>
  <c r="E69" i="25"/>
  <c r="C69" i="25"/>
  <c r="D68" i="25"/>
  <c r="S68" i="25"/>
  <c r="T68" i="25"/>
  <c r="V68" i="25"/>
  <c r="U68" i="25"/>
  <c r="X68" i="25"/>
  <c r="W68" i="25"/>
  <c r="O68" i="25"/>
  <c r="I68" i="25"/>
  <c r="J68" i="25"/>
  <c r="G68" i="25"/>
  <c r="L68" i="25"/>
  <c r="K68" i="25"/>
  <c r="N68" i="25"/>
  <c r="M68" i="25"/>
  <c r="E68" i="25"/>
  <c r="C68" i="25"/>
  <c r="D67" i="25"/>
  <c r="S67" i="25"/>
  <c r="T67" i="25"/>
  <c r="V67" i="25"/>
  <c r="U67" i="25"/>
  <c r="X67" i="25"/>
  <c r="W67" i="25"/>
  <c r="O67" i="25"/>
  <c r="I67" i="25"/>
  <c r="J67" i="25"/>
  <c r="G67" i="25"/>
  <c r="L67" i="25"/>
  <c r="K67" i="25"/>
  <c r="N67" i="25"/>
  <c r="M67" i="25"/>
  <c r="E67" i="25"/>
  <c r="C67" i="25"/>
  <c r="D66" i="25"/>
  <c r="S66" i="25"/>
  <c r="T66" i="25"/>
  <c r="V66" i="25"/>
  <c r="U66" i="25"/>
  <c r="X66" i="25"/>
  <c r="W66" i="25"/>
  <c r="O66" i="25"/>
  <c r="I66" i="25"/>
  <c r="J66" i="25"/>
  <c r="G66" i="25"/>
  <c r="L66" i="25"/>
  <c r="K66" i="25"/>
  <c r="N66" i="25"/>
  <c r="M66" i="25"/>
  <c r="E66" i="25"/>
  <c r="C66" i="25"/>
  <c r="D65" i="25"/>
  <c r="S65" i="25"/>
  <c r="T65" i="25"/>
  <c r="V65" i="25"/>
  <c r="U65" i="25"/>
  <c r="X65" i="25"/>
  <c r="W65" i="25"/>
  <c r="I65" i="25"/>
  <c r="J65" i="25"/>
  <c r="G65" i="25"/>
  <c r="L65" i="25"/>
  <c r="K65" i="25"/>
  <c r="N65" i="25"/>
  <c r="M65" i="25"/>
  <c r="C65" i="25"/>
  <c r="D64" i="25"/>
  <c r="P64" i="25"/>
  <c r="S64" i="25"/>
  <c r="T64" i="25"/>
  <c r="V64" i="25"/>
  <c r="U64" i="25"/>
  <c r="X64" i="25"/>
  <c r="W64" i="25"/>
  <c r="F64" i="25"/>
  <c r="I64" i="25"/>
  <c r="J64" i="25"/>
  <c r="G64" i="25"/>
  <c r="L64" i="25"/>
  <c r="K64" i="25"/>
  <c r="N64" i="25"/>
  <c r="M64" i="25"/>
  <c r="C64" i="25"/>
  <c r="A64" i="25"/>
  <c r="D63" i="25"/>
  <c r="P63" i="25"/>
  <c r="S63" i="25"/>
  <c r="T63" i="25"/>
  <c r="V63" i="25"/>
  <c r="U63" i="25"/>
  <c r="X63" i="25"/>
  <c r="W63" i="25"/>
  <c r="F63" i="25"/>
  <c r="I63" i="25"/>
  <c r="J63" i="25"/>
  <c r="G63" i="25"/>
  <c r="L63" i="25"/>
  <c r="K63" i="25"/>
  <c r="N63" i="25"/>
  <c r="M63" i="25"/>
  <c r="D62" i="25"/>
  <c r="P62" i="25"/>
  <c r="S62" i="25"/>
  <c r="T62" i="25"/>
  <c r="V62" i="25"/>
  <c r="U62" i="25"/>
  <c r="X62" i="25"/>
  <c r="W62" i="25"/>
  <c r="F62" i="25"/>
  <c r="I62" i="25"/>
  <c r="J62" i="25"/>
  <c r="G62" i="25"/>
  <c r="L62" i="25"/>
  <c r="K62" i="25"/>
  <c r="N62" i="25"/>
  <c r="M62" i="25"/>
  <c r="D61" i="25"/>
  <c r="P61" i="25"/>
  <c r="S61" i="25"/>
  <c r="T61" i="25"/>
  <c r="V61" i="25"/>
  <c r="U61" i="25"/>
  <c r="X61" i="25"/>
  <c r="W61" i="25"/>
  <c r="F61" i="25"/>
  <c r="I61" i="25"/>
  <c r="J61" i="25"/>
  <c r="G61" i="25"/>
  <c r="L61" i="25"/>
  <c r="K61" i="25"/>
  <c r="N61" i="25"/>
  <c r="M61" i="25"/>
  <c r="D60" i="25"/>
  <c r="P60" i="25"/>
  <c r="S60" i="25"/>
  <c r="T60" i="25"/>
  <c r="V60" i="25"/>
  <c r="U60" i="25"/>
  <c r="X60" i="25"/>
  <c r="W60" i="25"/>
  <c r="F60" i="25"/>
  <c r="I60" i="25"/>
  <c r="J60" i="25"/>
  <c r="G60" i="25"/>
  <c r="L60" i="25"/>
  <c r="K60" i="25"/>
  <c r="N60" i="25"/>
  <c r="M60" i="25"/>
  <c r="F53" i="25"/>
  <c r="G53" i="25"/>
  <c r="C45" i="25"/>
  <c r="C44" i="25"/>
  <c r="C43" i="25"/>
  <c r="C42" i="25"/>
  <c r="C41" i="25"/>
  <c r="C40" i="25"/>
  <c r="C39" i="25"/>
  <c r="C38" i="25"/>
  <c r="C37" i="25"/>
  <c r="C36" i="25"/>
  <c r="I35" i="25"/>
  <c r="G35" i="25"/>
  <c r="C35" i="25"/>
  <c r="C34" i="25"/>
  <c r="I31" i="25"/>
  <c r="H31" i="25"/>
  <c r="I30" i="25"/>
  <c r="H30" i="25"/>
  <c r="I26" i="25"/>
  <c r="D26" i="25"/>
  <c r="I25" i="25"/>
  <c r="D25" i="25"/>
  <c r="K3" i="12"/>
  <c r="K4" i="12"/>
  <c r="K5" i="12"/>
  <c r="K2" i="12"/>
  <c r="D2" i="12"/>
  <c r="B2" i="12"/>
  <c r="C2" i="12"/>
</calcChain>
</file>

<file path=xl/sharedStrings.xml><?xml version="1.0" encoding="utf-8"?>
<sst xmlns="http://schemas.openxmlformats.org/spreadsheetml/2006/main" count="747" uniqueCount="376">
  <si>
    <t>Deployment Name</t>
  </si>
  <si>
    <t>Production</t>
  </si>
  <si>
    <t>Yes</t>
  </si>
  <si>
    <t>Version</t>
  </si>
  <si>
    <t>NetWeaver Stack</t>
  </si>
  <si>
    <t>ABAP</t>
  </si>
  <si>
    <t>SID</t>
  </si>
  <si>
    <t>N01</t>
  </si>
  <si>
    <t>Central Instance Memory</t>
  </si>
  <si>
    <t>32 GiB</t>
  </si>
  <si>
    <t>Additional ASI Memory</t>
  </si>
  <si>
    <t>128 GiB</t>
  </si>
  <si>
    <t>Additional ASIs</t>
  </si>
  <si>
    <t>High Availability</t>
  </si>
  <si>
    <t>NetWeaver Master Password</t>
  </si>
  <si>
    <t>Operating System</t>
  </si>
  <si>
    <t>RHEL 6.7</t>
  </si>
  <si>
    <t>Server Root Password</t>
  </si>
  <si>
    <t>Timezone</t>
  </si>
  <si>
    <t>America/Los_Angeles</t>
  </si>
  <si>
    <t>Landscape ID</t>
  </si>
  <si>
    <t>Prod1</t>
  </si>
  <si>
    <t>V01</t>
  </si>
  <si>
    <t>BW1</t>
  </si>
  <si>
    <t>Workload</t>
  </si>
  <si>
    <t>SP11</t>
  </si>
  <si>
    <t>HANA Memory</t>
  </si>
  <si>
    <t>HANA Password</t>
  </si>
  <si>
    <t>SLES 11 SP3</t>
  </si>
  <si>
    <t>NetApp SnapCreator password</t>
  </si>
  <si>
    <t>ID</t>
  </si>
  <si>
    <t>BWoH</t>
  </si>
  <si>
    <t>RHEL 7.2</t>
  </si>
  <si>
    <t>SP12</t>
  </si>
  <si>
    <t>Function</t>
  </si>
  <si>
    <t>Netweaver 7.5 SP 01</t>
  </si>
  <si>
    <t>Changeme01</t>
  </si>
  <si>
    <t>h1_p</t>
  </si>
  <si>
    <t>GMT</t>
  </si>
  <si>
    <t>URL</t>
  </si>
  <si>
    <t>HANA1</t>
  </si>
  <si>
    <t>HANA2</t>
  </si>
  <si>
    <t>HANA3</t>
  </si>
  <si>
    <t>QA</t>
  </si>
  <si>
    <t>Dev</t>
  </si>
  <si>
    <t>fe1_p</t>
  </si>
  <si>
    <t>Column1</t>
  </si>
  <si>
    <t>Column2</t>
  </si>
  <si>
    <t>Column3</t>
  </si>
  <si>
    <t>S2</t>
  </si>
  <si>
    <t>S3</t>
  </si>
  <si>
    <t>S4</t>
  </si>
  <si>
    <t>Tags (only unique values)</t>
  </si>
  <si>
    <t>ID - unique</t>
  </si>
  <si>
    <t>HANA4</t>
  </si>
  <si>
    <t>hp_1</t>
  </si>
  <si>
    <t>CI Memory</t>
  </si>
  <si>
    <t>HA</t>
  </si>
  <si>
    <t>NW Master Password</t>
  </si>
  <si>
    <t>Time Zone</t>
  </si>
  <si>
    <t>DB Deployment Name</t>
  </si>
  <si>
    <t>DB SID</t>
  </si>
  <si>
    <t>DB Schema Name</t>
  </si>
  <si>
    <t>DB Password</t>
  </si>
  <si>
    <t>DB Host</t>
  </si>
  <si>
    <t>DB Port</t>
  </si>
  <si>
    <t>FE Deployment Name</t>
  </si>
  <si>
    <t>FE SID</t>
  </si>
  <si>
    <t>FE Admin Name</t>
  </si>
  <si>
    <t>FE Password</t>
  </si>
  <si>
    <t>FE Host</t>
  </si>
  <si>
    <t>FE IP</t>
  </si>
  <si>
    <t>Tag</t>
  </si>
  <si>
    <t>Max Duration</t>
  </si>
  <si>
    <t>NW1</t>
  </si>
  <si>
    <t>bw1_p</t>
  </si>
  <si>
    <t>https://bitbucket.org/vnomic/soxl/src/15c5db2c6b98cd69c185755f18780d14dbd64c98//Deployments/NW//NW1-BW.xlsm</t>
  </si>
  <si>
    <t>Deployment_name</t>
  </si>
  <si>
    <t>hp_2</t>
  </si>
  <si>
    <t>hp_3</t>
  </si>
  <si>
    <t>hp_4</t>
  </si>
  <si>
    <t>FE1</t>
  </si>
  <si>
    <t>NO1</t>
  </si>
  <si>
    <t>'Changeme01</t>
  </si>
  <si>
    <t>128G</t>
  </si>
  <si>
    <t>1TB</t>
  </si>
  <si>
    <t>128G-NP</t>
  </si>
  <si>
    <t>1TB-NP</t>
  </si>
  <si>
    <t>FETag</t>
  </si>
  <si>
    <t>Land1</t>
  </si>
  <si>
    <t>Supported Operating Systems</t>
  </si>
  <si>
    <t>Distro</t>
  </si>
  <si>
    <t>TDI KPI Test Options</t>
  </si>
  <si>
    <t>HANA Workload</t>
  </si>
  <si>
    <t>Service Models</t>
  </si>
  <si>
    <t>Name</t>
  </si>
  <si>
    <t>Model Version</t>
  </si>
  <si>
    <t>Boolean</t>
  </si>
  <si>
    <t>GiB</t>
  </si>
  <si>
    <t>Excel Model Major Version</t>
  </si>
  <si>
    <t>6.7</t>
  </si>
  <si>
    <t>RHEL</t>
  </si>
  <si>
    <t>None</t>
  </si>
  <si>
    <t>HANA Service Model</t>
  </si>
  <si>
    <t>HANA SaaS</t>
  </si>
  <si>
    <t>1.0</t>
  </si>
  <si>
    <t>TiB</t>
  </si>
  <si>
    <t>Excel Model Minor Version</t>
  </si>
  <si>
    <t>7.2</t>
  </si>
  <si>
    <t>Short</t>
  </si>
  <si>
    <t>SoH</t>
  </si>
  <si>
    <t>NW Service Model</t>
  </si>
  <si>
    <t>SAP NetWeaver SaaS</t>
  </si>
  <si>
    <t>No</t>
  </si>
  <si>
    <t>11.3</t>
  </si>
  <si>
    <t>SLES</t>
  </si>
  <si>
    <t>Long</t>
  </si>
  <si>
    <t>FE Service Model</t>
  </si>
  <si>
    <t>SAP NetWeaver Frontend with ASE SaaS</t>
  </si>
  <si>
    <t>Windows Server 2012 R2</t>
  </si>
  <si>
    <t>6.3</t>
  </si>
  <si>
    <t>Windows</t>
  </si>
  <si>
    <t>Medium</t>
  </si>
  <si>
    <t>Servers Service Model</t>
  </si>
  <si>
    <t>Servers-Configurator</t>
  </si>
  <si>
    <t xml:space="preserve"> </t>
  </si>
  <si>
    <t>Virtual Hosts Service Model</t>
  </si>
  <si>
    <t>VMware vSphere ESXi iSCSI Boot 2 Tier-tenant</t>
  </si>
  <si>
    <t>HANA Versions</t>
  </si>
  <si>
    <t>Network Services Model</t>
  </si>
  <si>
    <t>ASA with A10 Network Services-Tenant</t>
  </si>
  <si>
    <t>1.00.122.6</t>
  </si>
  <si>
    <t>Media Service Model</t>
  </si>
  <si>
    <t>Media Server-Configurator</t>
  </si>
  <si>
    <t>1.00.11</t>
  </si>
  <si>
    <t>SAP Landscape Transport Model</t>
  </si>
  <si>
    <t>SAP Landscape Transport-Configurator</t>
  </si>
  <si>
    <t>SP10</t>
  </si>
  <si>
    <t>1.00.102.00.1442292917</t>
  </si>
  <si>
    <t>Netweaver Versions</t>
  </si>
  <si>
    <t>7.52</t>
  </si>
  <si>
    <t>sap.nw.bw</t>
  </si>
  <si>
    <t>Netweaver 7.4 SP 02 (BW)</t>
  </si>
  <si>
    <t>7.42</t>
  </si>
  <si>
    <t>SAP S/4HANA 1610 SP 01</t>
  </si>
  <si>
    <t>1610</t>
  </si>
  <si>
    <t>sap.nw.s4</t>
  </si>
  <si>
    <t>SAP CRM 7.0 EHP4</t>
  </si>
  <si>
    <t>CRM704</t>
  </si>
  <si>
    <t>sap.nw.bs2016</t>
  </si>
  <si>
    <t>SAP ERP 6.0 EHP8</t>
  </si>
  <si>
    <t>ERP608</t>
  </si>
  <si>
    <t>Server Information</t>
  </si>
  <si>
    <t>Server</t>
  </si>
  <si>
    <t>Processor</t>
  </si>
  <si>
    <t>Sockets</t>
  </si>
  <si>
    <t>NUMA Nodes</t>
  </si>
  <si>
    <t>Cores/socket</t>
  </si>
  <si>
    <t>Cores</t>
  </si>
  <si>
    <t>Logical Cores</t>
  </si>
  <si>
    <t>Max Configured Memory</t>
  </si>
  <si>
    <t>B260</t>
  </si>
  <si>
    <t>B460</t>
  </si>
  <si>
    <t>CPU Information</t>
  </si>
  <si>
    <t>Bare Metal</t>
  </si>
  <si>
    <t>vSphere 5.5</t>
  </si>
  <si>
    <t>vSphere 6.0</t>
  </si>
  <si>
    <t>https://global.sap.com/community/ebook/2014-09-02-hana-hardware/enEN/appliances.html</t>
  </si>
  <si>
    <t>Model</t>
  </si>
  <si>
    <t>BWoH Usable Memory</t>
  </si>
  <si>
    <t>SoH Usable Memory</t>
  </si>
  <si>
    <t>E7-880 v3</t>
  </si>
  <si>
    <t>Haswell</t>
  </si>
  <si>
    <t>E7-880 v4</t>
  </si>
  <si>
    <t>Broadwell</t>
  </si>
  <si>
    <t>Machine/Workload/CPU</t>
  </si>
  <si>
    <t>HANA Usable Memory / Socket</t>
  </si>
  <si>
    <t>BM 2 Socket BWoH E7-880 v3</t>
  </si>
  <si>
    <t>vSphere max VM size</t>
  </si>
  <si>
    <t>BM 2 Socket SoH E7-880 v3</t>
  </si>
  <si>
    <t>MiB</t>
  </si>
  <si>
    <t>BM 4 Socket BWoH E7-880 v3</t>
  </si>
  <si>
    <t>BM 4 Socket SoH E7-880 v3</t>
  </si>
  <si>
    <t>BM 2 Socket BWoH E7-880 v4</t>
  </si>
  <si>
    <t>BM 2 Socket SoH E7-880 v4</t>
  </si>
  <si>
    <t>BM 4 Socket BWoH E7-880 v4</t>
  </si>
  <si>
    <t>BM 4 Socket SoH E7-880 v4</t>
  </si>
  <si>
    <t>Machine Information</t>
  </si>
  <si>
    <t>Max machine memory</t>
  </si>
  <si>
    <t>HA standby servers</t>
  </si>
  <si>
    <t>BM 2 Socket</t>
  </si>
  <si>
    <t>BM 4 Socket</t>
  </si>
  <si>
    <t>HANA log storage ceiling</t>
  </si>
  <si>
    <t>Min is 512 GiB</t>
  </si>
  <si>
    <t>Server Size Info Production Offset</t>
  </si>
  <si>
    <t>Oversubscription factor</t>
  </si>
  <si>
    <t>Server Size Info Non-Production Offset</t>
  </si>
  <si>
    <t>Non-Production</t>
  </si>
  <si>
    <t>BWoH Production Memory Size Labels</t>
  </si>
  <si>
    <t>BWoH Production Memory Size GiB</t>
  </si>
  <si>
    <t>BWoH Production Memory Size Bytes</t>
  </si>
  <si>
    <t>Machine</t>
  </si>
  <si>
    <t>Scaling paradigm</t>
  </si>
  <si>
    <t>Resource</t>
  </si>
  <si>
    <t>CPU</t>
  </si>
  <si>
    <t>Consumable</t>
  </si>
  <si>
    <t>Total</t>
  </si>
  <si>
    <t>Required Severs</t>
  </si>
  <si>
    <t>Standby Servers</t>
  </si>
  <si>
    <t>Unused Capacity</t>
  </si>
  <si>
    <t>Up</t>
  </si>
  <si>
    <t>256 GiB</t>
  </si>
  <si>
    <t>512 GiB</t>
  </si>
  <si>
    <t>768 GiB</t>
  </si>
  <si>
    <t>2 TiB</t>
  </si>
  <si>
    <t>Out</t>
  </si>
  <si>
    <t>3 TiB</t>
  </si>
  <si>
    <t>4 TiB</t>
  </si>
  <si>
    <t>5 TiB</t>
  </si>
  <si>
    <t>6 TiB</t>
  </si>
  <si>
    <t>7 TiB</t>
  </si>
  <si>
    <t>8 TiB</t>
  </si>
  <si>
    <t>SoH Production Memory Size Labels</t>
  </si>
  <si>
    <t>SoH Production Memory Size GiB</t>
  </si>
  <si>
    <t>SoH Production Memory Size Bytes</t>
  </si>
  <si>
    <t>Scale</t>
  </si>
  <si>
    <t>`</t>
  </si>
  <si>
    <t>Primary storage</t>
  </si>
  <si>
    <t>/usr/sap</t>
  </si>
  <si>
    <t>Absolute</t>
  </si>
  <si>
    <t>/hana/shared</t>
  </si>
  <si>
    <t>/hana/data</t>
  </si>
  <si>
    <t>/hana/log</t>
  </si>
  <si>
    <t>Backup capacity</t>
  </si>
  <si>
    <t>HANA storage port over subscription factor</t>
  </si>
  <si>
    <t>Netweaver Language</t>
  </si>
  <si>
    <t>FE Language Constant</t>
  </si>
  <si>
    <t>Java</t>
  </si>
  <si>
    <t>Netweaver  Server Sizes</t>
  </si>
  <si>
    <t>Memory Size GiB</t>
  </si>
  <si>
    <t>64 GiB</t>
  </si>
  <si>
    <t>1 TiB</t>
  </si>
  <si>
    <t>Server counts</t>
  </si>
  <si>
    <t>Server Sizes</t>
  </si>
  <si>
    <t>NW backup capacity scalar</t>
  </si>
  <si>
    <t>Virtual Hosts</t>
  </si>
  <si>
    <t>Virtual Machine capacity enforcement</t>
  </si>
  <si>
    <t>Enabled</t>
  </si>
  <si>
    <t>vMotion Rate</t>
  </si>
  <si>
    <t>Default VM Behavior</t>
  </si>
  <si>
    <t>vSphere Cluster DRS</t>
  </si>
  <si>
    <t>fullyAutomated</t>
  </si>
  <si>
    <t>vSphere DRS behavior</t>
  </si>
  <si>
    <t>manual</t>
  </si>
  <si>
    <t>partiallyAutomated</t>
  </si>
  <si>
    <t>vSphere Latency Sensitivity Sensivity Level</t>
  </si>
  <si>
    <t>low</t>
  </si>
  <si>
    <t>normal</t>
  </si>
  <si>
    <t>medium</t>
  </si>
  <si>
    <t>high</t>
  </si>
  <si>
    <t>custom</t>
  </si>
  <si>
    <t>Non-production</t>
  </si>
  <si>
    <t>Computed</t>
  </si>
  <si>
    <t>Locked to max</t>
  </si>
  <si>
    <t>Latency Sensitivity Level</t>
  </si>
  <si>
    <t>vSphere VM memory reservation</t>
  </si>
  <si>
    <t>NW</t>
  </si>
  <si>
    <t>File System Types</t>
  </si>
  <si>
    <t>HANA</t>
  </si>
  <si>
    <t>ext3</t>
  </si>
  <si>
    <t>FE</t>
  </si>
  <si>
    <t>ext4</t>
  </si>
  <si>
    <t>Servers</t>
  </si>
  <si>
    <t>xfs</t>
  </si>
  <si>
    <t>VH</t>
  </si>
  <si>
    <t>Sum of booleans</t>
  </si>
  <si>
    <t>Server backup capacity scalar</t>
  </si>
  <si>
    <t>Front End configuration not exposed</t>
  </si>
  <si>
    <t>T-shirt size</t>
  </si>
  <si>
    <t>Memory per server</t>
  </si>
  <si>
    <t>Cores per server</t>
  </si>
  <si>
    <t>FE CS tier</t>
  </si>
  <si>
    <t>FE ASE tier</t>
  </si>
  <si>
    <t>HANA SnapCreator</t>
  </si>
  <si>
    <t>8 GiB 2 Cores</t>
  </si>
  <si>
    <t>ESXi host password</t>
  </si>
  <si>
    <t>Offered</t>
  </si>
  <si>
    <t>Overhead</t>
  </si>
  <si>
    <t>Total memory</t>
  </si>
  <si>
    <t># 2x32GB DIMMs</t>
  </si>
  <si>
    <t>Reverse Offered</t>
  </si>
  <si>
    <t>Reverse Total</t>
  </si>
  <si>
    <t>HANA computations</t>
  </si>
  <si>
    <t>Seleccted server size</t>
  </si>
  <si>
    <t>Unused capacity</t>
  </si>
  <si>
    <t>Packed servers</t>
  </si>
  <si>
    <t>Fractional server size index</t>
  </si>
  <si>
    <t>Fractional memory size</t>
  </si>
  <si>
    <t>Fractional with overhead</t>
  </si>
  <si>
    <t>Media server hidden configuration</t>
  </si>
  <si>
    <t>Input</t>
  </si>
  <si>
    <t>Value</t>
  </si>
  <si>
    <t>Description</t>
  </si>
  <si>
    <t>Computed Server Fulfillment</t>
  </si>
  <si>
    <t>Deployment Name in Vnomic, unique for customer</t>
  </si>
  <si>
    <t>Total Servers</t>
  </si>
  <si>
    <t>Active severs in the HANA cluster</t>
  </si>
  <si>
    <t>Server memory and core configuration</t>
  </si>
  <si>
    <t>Cores per Server</t>
  </si>
  <si>
    <t>Logical threads</t>
  </si>
  <si>
    <t>Production or non-production deployment</t>
  </si>
  <si>
    <t>Memory per Server</t>
  </si>
  <si>
    <t>Server memory size</t>
  </si>
  <si>
    <t>Server count</t>
  </si>
  <si>
    <t>Number of servers</t>
  </si>
  <si>
    <t>Server Type</t>
  </si>
  <si>
    <t>Physical server</t>
  </si>
  <si>
    <t>Server operating system</t>
  </si>
  <si>
    <t>Machine Type</t>
  </si>
  <si>
    <t>Virtual Machine or Bare metal</t>
  </si>
  <si>
    <t>Server administration password</t>
  </si>
  <si>
    <t>Time zone configuration</t>
  </si>
  <si>
    <t>Computed Storage Fulfillment</t>
  </si>
  <si>
    <t>Data Disk 1 Size</t>
  </si>
  <si>
    <t>Total storage capacity</t>
  </si>
  <si>
    <t>Data Disk 1 Mount Point</t>
  </si>
  <si>
    <t>/media</t>
  </si>
  <si>
    <t>Mount path</t>
  </si>
  <si>
    <t>Data Disk 1 Filesystem Type</t>
  </si>
  <si>
    <t>File system created on the disk</t>
  </si>
  <si>
    <t>Data Disk 2 Size</t>
  </si>
  <si>
    <t>Data Disk 2 Mount Point</t>
  </si>
  <si>
    <t>/mnt/data2</t>
  </si>
  <si>
    <t>Data Disk 2 Filesystem Type</t>
  </si>
  <si>
    <t>Data Disk 3 Size</t>
  </si>
  <si>
    <t>Data Disk 3 Mount Point</t>
  </si>
  <si>
    <t>/mnt/data3</t>
  </si>
  <si>
    <t>Data Disk 3 Filesystem Type</t>
  </si>
  <si>
    <t>Data Disk 4 Size</t>
  </si>
  <si>
    <t>Data Disk 4 Mount Point</t>
  </si>
  <si>
    <t>Data Disk 4 Filesystem Type</t>
  </si>
  <si>
    <t>Network Services</t>
  </si>
  <si>
    <t>High availability</t>
  </si>
  <si>
    <t>Provisioning of HA pairs</t>
  </si>
  <si>
    <t>ASAA10</t>
  </si>
  <si>
    <t>Disks which apply to all servers</t>
  </si>
  <si>
    <t>formula:3 * #cpu_memory</t>
  </si>
  <si>
    <t>/backup</t>
  </si>
  <si>
    <t>UCS blade servers</t>
  </si>
  <si>
    <t>UCS domain</t>
  </si>
  <si>
    <t>Chassis</t>
  </si>
  <si>
    <t>Slot</t>
  </si>
  <si>
    <t>Supported Hypervisors</t>
  </si>
  <si>
    <t>UCS1</t>
  </si>
  <si>
    <t>vSphere ESXi 5.5</t>
  </si>
  <si>
    <t>5.5</t>
  </si>
  <si>
    <t>VMware</t>
  </si>
  <si>
    <t>vSphere ESXi 6.0</t>
  </si>
  <si>
    <t>6.0</t>
  </si>
  <si>
    <t>vSphere ESXi 6.5</t>
  </si>
  <si>
    <t>6.5</t>
  </si>
  <si>
    <t>S1</t>
  </si>
  <si>
    <t>Helpful column</t>
  </si>
  <si>
    <t>Land2</t>
  </si>
  <si>
    <t>Land3</t>
  </si>
  <si>
    <t>Land4</t>
  </si>
  <si>
    <t>Cores2</t>
  </si>
  <si>
    <t>Machine3</t>
  </si>
  <si>
    <t>Scaling paradigm4</t>
  </si>
  <si>
    <t>Resource5</t>
  </si>
  <si>
    <t>CPU6</t>
  </si>
  <si>
    <t>Consumable7</t>
  </si>
  <si>
    <t>Total8</t>
  </si>
  <si>
    <t>Required Severs9</t>
  </si>
  <si>
    <t>Standby Servers10</t>
  </si>
  <si>
    <t>Unused Capacity11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</si>
</sst>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/>
    <xf numFmtId="11" fontId="0" fillId="0" borderId="0" xfId="0" applyNumberFormat="1"/>
    <xf numFmtId="0" fontId="3" fillId="0" borderId="0" xfId="0" quotePrefix="1" applyFont="1"/>
    <xf numFmtId="0" fontId="0" fillId="0" borderId="0" xfId="0" quotePrefix="1" applyFont="1"/>
    <xf numFmtId="0" fontId="0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Border="1"/>
    <xf numFmtId="0" fontId="3" fillId="2" borderId="0" xfId="0" applyFont="1" applyFill="1"/>
    <xf numFmtId="0" fontId="3" fillId="3" borderId="0" xfId="0" applyFont="1" applyFill="1"/>
    <xf numFmtId="164" fontId="5" fillId="4" borderId="0" xfId="4" quotePrefix="1" applyNumberFormat="1" applyFont="1" applyFill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 wrapText="1"/>
    </xf>
    <xf numFmtId="0" fontId="1" fillId="3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3" fillId="2" borderId="0" xfId="0" applyFont="1" applyFill="1" applyAlignment="1">
      <alignment horizontal="left"/>
    </xf>
    <xf numFmtId="164" fontId="5" fillId="2" borderId="0" xfId="4" quotePrefix="1" applyNumberFormat="1" applyFont="1" applyFill="1"/>
    <xf numFmtId="0" fontId="8" fillId="0" borderId="0" xfId="0" quotePrefix="1" applyFont="1"/>
    <xf numFmtId="0" fontId="0" fillId="2" borderId="0" xfId="0" applyFont="1" applyFill="1"/>
    <xf numFmtId="0" fontId="1" fillId="0" borderId="0" xfId="0" applyFont="1"/>
    <xf numFmtId="0" fontId="0" fillId="0" borderId="0" xfId="0" applyFont="1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5">
    <cellStyle name="Followed Hyperlink" xfId="1" builtinId="9" hidden="1"/>
    <cellStyle name="Followed Hyperlink" xfId="2" builtinId="9" hidden="1"/>
    <cellStyle name="Followed Hyperlink" xfId="3" builtinId="9" hidden="1"/>
    <cellStyle name="Hyperlink" xfId="4" builtinId="8"/>
    <cellStyle name="Normal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30480</xdr:rowOff>
    </xdr:from>
    <xdr:to>
      <xdr:col>1</xdr:col>
      <xdr:colOff>594360</xdr:colOff>
      <xdr:row>2</xdr:row>
      <xdr:rowOff>121920</xdr:rowOff>
    </xdr:to>
    <xdr:sp macro="[0]!DeployAllSystems" textlink="">
      <xdr:nvSpPr>
        <xdr:cNvPr id="2" name="TextBox 1">
          <a:extLst>
            <a:ext uri="{FF2B5EF4-FFF2-40B4-BE49-F238E27FC236}">
              <a16:creationId xmlns:a16="http://schemas.microsoft.com/office/drawing/2014/main" id="{D934A29A-37B6-439E-B2E7-0CD9B68B24D5}"/>
            </a:ext>
          </a:extLst>
        </xdr:cNvPr>
        <xdr:cNvSpPr txBox="1"/>
      </xdr:nvSpPr>
      <xdr:spPr>
        <a:xfrm>
          <a:off x="381000" y="213360"/>
          <a:ext cx="822960" cy="27432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l-PL" sz="1100">
              <a:solidFill>
                <a:sysClr val="windowText" lastClr="000000"/>
              </a:solidFill>
            </a:rPr>
            <a:t>Run Macro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ut/S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out/Land3-S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 Information"/>
      <sheetName val="Customer Services"/>
      <sheetName val="NetWeaver"/>
      <sheetName val="HANA"/>
      <sheetName val="Front End"/>
      <sheetName val="Transport"/>
      <sheetName val="Servers"/>
      <sheetName val="Virtual Hosts"/>
      <sheetName val="Configuration Model"/>
      <sheetName val="Price Model"/>
      <sheetName val="TimeZones"/>
      <sheetName val="HANA Scenarios"/>
      <sheetName val="FE Scenarios"/>
      <sheetName val="NW Scenarios"/>
      <sheetName val="Landscapes"/>
      <sheetName val="Service Request"/>
    </sheetNames>
    <sheetDataSet>
      <sheetData sheetId="0" refreshError="1"/>
      <sheetData sheetId="1">
        <row r="3">
          <cell r="B3" t="str">
            <v>Yes</v>
          </cell>
        </row>
      </sheetData>
      <sheetData sheetId="2">
        <row r="2">
          <cell r="B2" t="str">
            <v>bw1_p</v>
          </cell>
        </row>
      </sheetData>
      <sheetData sheetId="3">
        <row r="2">
          <cell r="B2" t="str">
            <v>hp_2</v>
          </cell>
        </row>
      </sheetData>
      <sheetData sheetId="4">
        <row r="2">
          <cell r="B2" t="str">
            <v>fe1_p</v>
          </cell>
        </row>
      </sheetData>
      <sheetData sheetId="5">
        <row r="2">
          <cell r="B2" t="str">
            <v>tr_1</v>
          </cell>
        </row>
      </sheetData>
      <sheetData sheetId="6">
        <row r="2">
          <cell r="B2" t="str">
            <v>s1</v>
          </cell>
        </row>
      </sheetData>
      <sheetData sheetId="7">
        <row r="2">
          <cell r="B2" t="str">
            <v>esx_p</v>
          </cell>
        </row>
      </sheetData>
      <sheetData sheetId="8"/>
      <sheetData sheetId="9" refreshError="1"/>
      <sheetData sheetId="10">
        <row r="2">
          <cell r="C2" t="str">
            <v>Etc/GMT+12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 Information"/>
      <sheetName val="Customer Services"/>
      <sheetName val="NetWeaver"/>
      <sheetName val="HANA"/>
      <sheetName val="Front End"/>
      <sheetName val="Transport"/>
      <sheetName val="Servers"/>
      <sheetName val="Virtual Hosts"/>
      <sheetName val="Configuration Model"/>
      <sheetName val="Price Model"/>
      <sheetName val="TimeZones"/>
      <sheetName val="HANA Scenarios"/>
      <sheetName val="FE Scenarios"/>
      <sheetName val="NW Scenarios"/>
      <sheetName val="Landscapes"/>
      <sheetName val="Service Request"/>
    </sheetNames>
    <sheetDataSet>
      <sheetData sheetId="0" refreshError="1"/>
      <sheetData sheetId="1">
        <row r="3">
          <cell r="B3" t="str">
            <v>Yes</v>
          </cell>
        </row>
        <row r="4">
          <cell r="B4">
            <v>500</v>
          </cell>
        </row>
      </sheetData>
      <sheetData sheetId="2">
        <row r="2">
          <cell r="B2" t="str">
            <v>bw1_p</v>
          </cell>
          <cell r="F2">
            <v>2</v>
          </cell>
        </row>
        <row r="3">
          <cell r="B3" t="str">
            <v>Yes</v>
          </cell>
          <cell r="F3">
            <v>8</v>
          </cell>
        </row>
        <row r="4">
          <cell r="B4" t="str">
            <v>Netweaver 7.5 SP 01</v>
          </cell>
          <cell r="F4" t="str">
            <v>B260</v>
          </cell>
        </row>
        <row r="5">
          <cell r="B5" t="str">
            <v>ABAP</v>
          </cell>
          <cell r="F5" t="str">
            <v>Virtual Machine</v>
          </cell>
        </row>
        <row r="6">
          <cell r="B6" t="str">
            <v>N01</v>
          </cell>
          <cell r="F6">
            <v>20</v>
          </cell>
        </row>
        <row r="7">
          <cell r="B7" t="str">
            <v>32 GiB</v>
          </cell>
          <cell r="F7" t="str">
            <v>B260</v>
          </cell>
        </row>
        <row r="8">
          <cell r="B8" t="str">
            <v>128 GiB</v>
          </cell>
          <cell r="F8" t="str">
            <v>Virtual Machine</v>
          </cell>
        </row>
        <row r="9">
          <cell r="B9">
            <v>1</v>
          </cell>
        </row>
        <row r="10">
          <cell r="B10" t="str">
            <v>Yes</v>
          </cell>
        </row>
        <row r="11">
          <cell r="B11" t="str">
            <v>Changeme01</v>
          </cell>
        </row>
        <row r="12">
          <cell r="B12" t="str">
            <v>RHEL 6.7</v>
          </cell>
        </row>
        <row r="13">
          <cell r="B13" t="str">
            <v>Changeme01</v>
          </cell>
        </row>
        <row r="14">
          <cell r="B14" t="str">
            <v>GMT</v>
          </cell>
        </row>
        <row r="15">
          <cell r="B15" t="str">
            <v>Prod1</v>
          </cell>
        </row>
        <row r="17">
          <cell r="B17" t="str">
            <v>h1_p</v>
          </cell>
        </row>
        <row r="18">
          <cell r="B18" t="str">
            <v>V01</v>
          </cell>
        </row>
        <row r="19">
          <cell r="B19" t="str">
            <v>BW1</v>
          </cell>
        </row>
        <row r="20">
          <cell r="B20" t="str">
            <v>Changeme01</v>
          </cell>
        </row>
      </sheetData>
      <sheetData sheetId="3">
        <row r="2">
          <cell r="B2" t="str">
            <v>hp_2</v>
          </cell>
          <cell r="F2" t="str">
            <v>Out</v>
          </cell>
        </row>
        <row r="3">
          <cell r="B3" t="str">
            <v>Yes</v>
          </cell>
          <cell r="F3">
            <v>3</v>
          </cell>
        </row>
        <row r="4">
          <cell r="B4" t="str">
            <v>BWoH</v>
          </cell>
        </row>
        <row r="5">
          <cell r="B5" t="str">
            <v>SP12</v>
          </cell>
          <cell r="F5">
            <v>288</v>
          </cell>
        </row>
        <row r="6">
          <cell r="B6" t="str">
            <v>6 TiB</v>
          </cell>
        </row>
        <row r="7">
          <cell r="B7" t="str">
            <v>Yes</v>
          </cell>
        </row>
        <row r="8">
          <cell r="B8" t="str">
            <v>V01</v>
          </cell>
          <cell r="F8">
            <v>1</v>
          </cell>
        </row>
        <row r="9">
          <cell r="B9" t="str">
            <v>Changeme01</v>
          </cell>
          <cell r="F9">
            <v>4</v>
          </cell>
        </row>
        <row r="10">
          <cell r="B10" t="str">
            <v>SLES 11 SP3</v>
          </cell>
        </row>
        <row r="11">
          <cell r="B11" t="str">
            <v>Changeme01</v>
          </cell>
          <cell r="F11" t="str">
            <v>B460</v>
          </cell>
        </row>
        <row r="12">
          <cell r="B12" t="str">
            <v>America/Los_Angeles</v>
          </cell>
          <cell r="F12" t="str">
            <v>BM 4 Socket</v>
          </cell>
        </row>
        <row r="13">
          <cell r="B13" t="str">
            <v>Changeme01</v>
          </cell>
        </row>
        <row r="15">
          <cell r="F15">
            <v>50</v>
          </cell>
        </row>
        <row r="16">
          <cell r="F16">
            <v>1024</v>
          </cell>
        </row>
        <row r="17">
          <cell r="F17">
            <v>12288</v>
          </cell>
        </row>
        <row r="18">
          <cell r="F18">
            <v>6144</v>
          </cell>
        </row>
        <row r="20">
          <cell r="F20">
            <v>61440</v>
          </cell>
        </row>
      </sheetData>
      <sheetData sheetId="4">
        <row r="2">
          <cell r="B2" t="str">
            <v>fe1_p</v>
          </cell>
        </row>
        <row r="3">
          <cell r="B3" t="str">
            <v>Yes</v>
          </cell>
        </row>
      </sheetData>
      <sheetData sheetId="5">
        <row r="2">
          <cell r="B2" t="str">
            <v>tr_1</v>
          </cell>
        </row>
      </sheetData>
      <sheetData sheetId="6">
        <row r="2">
          <cell r="B2" t="str">
            <v>s1</v>
          </cell>
        </row>
        <row r="4">
          <cell r="B4" t="str">
            <v>Yes</v>
          </cell>
        </row>
        <row r="5">
          <cell r="B5">
            <v>1</v>
          </cell>
        </row>
        <row r="9">
          <cell r="B9">
            <v>50</v>
          </cell>
        </row>
        <row r="12">
          <cell r="B12">
            <v>20</v>
          </cell>
        </row>
        <row r="15">
          <cell r="B15">
            <v>40</v>
          </cell>
        </row>
      </sheetData>
      <sheetData sheetId="7">
        <row r="2">
          <cell r="B2" t="str">
            <v>esx_p</v>
          </cell>
          <cell r="F2">
            <v>0</v>
          </cell>
        </row>
        <row r="3">
          <cell r="B3" t="str">
            <v>Yes</v>
          </cell>
        </row>
        <row r="6">
          <cell r="B6" t="str">
            <v>vSphere ESXi 5.5</v>
          </cell>
        </row>
      </sheetData>
      <sheetData sheetId="8"/>
      <sheetData sheetId="9" refreshError="1"/>
      <sheetData sheetId="10">
        <row r="2">
          <cell r="C2" t="str">
            <v>Etc/GMT+12</v>
          </cell>
        </row>
        <row r="3">
          <cell r="C3" t="str">
            <v>Pacific/Apia</v>
          </cell>
        </row>
        <row r="4">
          <cell r="C4" t="str">
            <v>Etc/GMT+10</v>
          </cell>
        </row>
        <row r="5">
          <cell r="C5" t="str">
            <v>Pacific/Honolulu</v>
          </cell>
        </row>
        <row r="6">
          <cell r="C6" t="str">
            <v>Pacific/Johnston</v>
          </cell>
        </row>
        <row r="7">
          <cell r="C7" t="str">
            <v>Pacific/Rarotonga</v>
          </cell>
        </row>
        <row r="8">
          <cell r="C8" t="str">
            <v>Pacific/Tahiti</v>
          </cell>
        </row>
        <row r="9">
          <cell r="C9" t="str">
            <v>America/Anchorage</v>
          </cell>
        </row>
        <row r="10">
          <cell r="C10" t="str">
            <v>America/Juneau</v>
          </cell>
        </row>
        <row r="11">
          <cell r="C11" t="str">
            <v>America/Metlakatla</v>
          </cell>
        </row>
        <row r="12">
          <cell r="C12" t="str">
            <v>America/Nome</v>
          </cell>
        </row>
        <row r="13">
          <cell r="C13" t="str">
            <v>America/Sitka</v>
          </cell>
        </row>
        <row r="14">
          <cell r="C14" t="str">
            <v>America/Yakutat</v>
          </cell>
        </row>
        <row r="15">
          <cell r="C15" t="str">
            <v>America/Dawson</v>
          </cell>
        </row>
        <row r="16">
          <cell r="C16" t="str">
            <v>America/Los_Angeles</v>
          </cell>
        </row>
        <row r="17">
          <cell r="C17" t="str">
            <v>America/Vancouver</v>
          </cell>
        </row>
        <row r="18">
          <cell r="C18" t="str">
            <v>America/Whitehorse</v>
          </cell>
        </row>
        <row r="19">
          <cell r="C19" t="str">
            <v>PST8PDT</v>
          </cell>
        </row>
        <row r="20">
          <cell r="C20" t="str">
            <v>America/Boise</v>
          </cell>
        </row>
        <row r="21">
          <cell r="C21" t="str">
            <v>America/Cambridge_Bay</v>
          </cell>
        </row>
        <row r="22">
          <cell r="C22" t="str">
            <v>America/Denver</v>
          </cell>
        </row>
        <row r="23">
          <cell r="C23" t="str">
            <v>America/Edmonton</v>
          </cell>
        </row>
        <row r="24">
          <cell r="C24" t="str">
            <v>America/Inuvik</v>
          </cell>
        </row>
        <row r="25">
          <cell r="C25" t="str">
            <v>America/Ojinaga</v>
          </cell>
        </row>
        <row r="26">
          <cell r="C26" t="str">
            <v>America/Yellowknife</v>
          </cell>
        </row>
        <row r="27">
          <cell r="C27" t="str">
            <v>MST7MDT</v>
          </cell>
        </row>
        <row r="28">
          <cell r="C28" t="str">
            <v>America/Creston</v>
          </cell>
        </row>
        <row r="29">
          <cell r="C29" t="str">
            <v>America/Dawson_Creek</v>
          </cell>
        </row>
        <row r="30">
          <cell r="C30" t="str">
            <v>America/Fort_Nelson</v>
          </cell>
        </row>
        <row r="31">
          <cell r="C31" t="str">
            <v>America/Hermosillo</v>
          </cell>
        </row>
        <row r="32">
          <cell r="C32" t="str">
            <v>America/Phoenix</v>
          </cell>
        </row>
        <row r="33">
          <cell r="C33" t="str">
            <v>Etc/GMT+7</v>
          </cell>
        </row>
        <row r="34">
          <cell r="C34" t="str">
            <v>America/Chicago</v>
          </cell>
        </row>
        <row r="35">
          <cell r="C35" t="str">
            <v>America/Indiana/Knox</v>
          </cell>
        </row>
        <row r="36">
          <cell r="C36" t="str">
            <v>America/Indiana/Tell_City</v>
          </cell>
        </row>
        <row r="37">
          <cell r="C37" t="str">
            <v>America/Matamoros</v>
          </cell>
        </row>
        <row r="38">
          <cell r="C38" t="str">
            <v>America/Menominee</v>
          </cell>
        </row>
        <row r="39">
          <cell r="C39" t="str">
            <v>America/North_Dakota/Beulah</v>
          </cell>
        </row>
        <row r="40">
          <cell r="C40" t="str">
            <v>America/North_Dakota/Center</v>
          </cell>
        </row>
        <row r="41">
          <cell r="C41" t="str">
            <v>America/North_Dakota/New_Salem</v>
          </cell>
        </row>
        <row r="42">
          <cell r="C42" t="str">
            <v>America/Rainy_River</v>
          </cell>
        </row>
        <row r="43">
          <cell r="C43" t="str">
            <v>America/Rankin_Inlet</v>
          </cell>
        </row>
        <row r="44">
          <cell r="C44" t="str">
            <v>America/Resolute</v>
          </cell>
        </row>
        <row r="45">
          <cell r="C45" t="str">
            <v>America/Winnipeg</v>
          </cell>
        </row>
        <row r="46">
          <cell r="C46" t="str">
            <v>CST6CDT</v>
          </cell>
        </row>
        <row r="47">
          <cell r="C47" t="str">
            <v>America/Regina</v>
          </cell>
        </row>
        <row r="48">
          <cell r="C48" t="str">
            <v>America/Swift_Current</v>
          </cell>
        </row>
        <row r="49">
          <cell r="C49" t="str">
            <v>America/Belize</v>
          </cell>
        </row>
        <row r="50">
          <cell r="C50" t="str">
            <v>America/Costa_Rica</v>
          </cell>
        </row>
        <row r="51">
          <cell r="C51" t="str">
            <v>America/El_Salvador</v>
          </cell>
        </row>
        <row r="52">
          <cell r="C52" t="str">
            <v>America/Guatemala</v>
          </cell>
        </row>
        <row r="53">
          <cell r="C53" t="str">
            <v>America/Managua</v>
          </cell>
        </row>
        <row r="54">
          <cell r="C54" t="str">
            <v>America/Tegucigalpa</v>
          </cell>
        </row>
        <row r="55">
          <cell r="C55" t="str">
            <v>Etc/GMT+6</v>
          </cell>
        </row>
        <row r="56">
          <cell r="C56" t="str">
            <v>Pacific/Galapagos</v>
          </cell>
        </row>
        <row r="57">
          <cell r="C57" t="str">
            <v>America/Detroit</v>
          </cell>
        </row>
        <row r="58">
          <cell r="C58" t="str">
            <v>America/Indiana/Petersburg</v>
          </cell>
        </row>
        <row r="59">
          <cell r="C59" t="str">
            <v>America/Indiana/Vincennes</v>
          </cell>
        </row>
        <row r="60">
          <cell r="C60" t="str">
            <v>America/Indiana/Winamac</v>
          </cell>
        </row>
        <row r="61">
          <cell r="C61" t="str">
            <v>America/Iqaluit</v>
          </cell>
        </row>
        <row r="62">
          <cell r="C62" t="str">
            <v>America/Kentucky/Monticello</v>
          </cell>
        </row>
        <row r="63">
          <cell r="C63" t="str">
            <v>America/Louisville</v>
          </cell>
        </row>
        <row r="64">
          <cell r="C64" t="str">
            <v>America/Nassau</v>
          </cell>
        </row>
        <row r="65">
          <cell r="C65" t="str">
            <v>America/New_York</v>
          </cell>
        </row>
        <row r="66">
          <cell r="C66" t="str">
            <v>America/Nipigon</v>
          </cell>
        </row>
        <row r="67">
          <cell r="C67" t="str">
            <v>America/Pangnirtung</v>
          </cell>
        </row>
        <row r="68">
          <cell r="C68" t="str">
            <v>America/Thunder_Bay</v>
          </cell>
        </row>
        <row r="69">
          <cell r="C69" t="str">
            <v>America/Toronto</v>
          </cell>
        </row>
        <row r="70">
          <cell r="C70" t="str">
            <v>EST5EDT</v>
          </cell>
        </row>
        <row r="71">
          <cell r="C71" t="str">
            <v>America/Indiana/Marengo</v>
          </cell>
        </row>
        <row r="72">
          <cell r="C72" t="str">
            <v>America/Indiana/Vevay</v>
          </cell>
        </row>
        <row r="73">
          <cell r="C73" t="str">
            <v>America/Indianapolis</v>
          </cell>
        </row>
        <row r="74">
          <cell r="C74" t="str">
            <v>America/Bogota</v>
          </cell>
        </row>
        <row r="75">
          <cell r="C75" t="str">
            <v>America/Cayman</v>
          </cell>
        </row>
        <row r="76">
          <cell r="C76" t="str">
            <v>America/Coral_Harbour</v>
          </cell>
        </row>
        <row r="77">
          <cell r="C77" t="str">
            <v>America/Eirunepe</v>
          </cell>
        </row>
        <row r="78">
          <cell r="C78" t="str">
            <v>America/Guayaquil</v>
          </cell>
        </row>
        <row r="79">
          <cell r="C79" t="str">
            <v>America/Jamaica</v>
          </cell>
        </row>
        <row r="80">
          <cell r="C80" t="str">
            <v>America/Lima</v>
          </cell>
        </row>
        <row r="81">
          <cell r="C81" t="str">
            <v>America/Panama</v>
          </cell>
        </row>
        <row r="82">
          <cell r="C82" t="str">
            <v>America/Rio_Branco</v>
          </cell>
        </row>
        <row r="83">
          <cell r="C83" t="str">
            <v>Etc/GMT+5</v>
          </cell>
        </row>
        <row r="84">
          <cell r="C84" t="str">
            <v>America/Glace_Bay</v>
          </cell>
        </row>
        <row r="85">
          <cell r="C85" t="str">
            <v>America/Goose_Bay</v>
          </cell>
        </row>
        <row r="86">
          <cell r="C86" t="str">
            <v>America/Halifax</v>
          </cell>
        </row>
        <row r="87">
          <cell r="C87" t="str">
            <v>America/Moncton</v>
          </cell>
        </row>
        <row r="88">
          <cell r="C88" t="str">
            <v>America/Thule</v>
          </cell>
        </row>
        <row r="89">
          <cell r="C89" t="str">
            <v>Atlantic/Bermuda</v>
          </cell>
        </row>
        <row r="90">
          <cell r="C90" t="str">
            <v>America/Anguilla</v>
          </cell>
        </row>
        <row r="91">
          <cell r="C91" t="str">
            <v>America/Antigua</v>
          </cell>
        </row>
        <row r="92">
          <cell r="C92" t="str">
            <v>America/Aruba</v>
          </cell>
        </row>
        <row r="93">
          <cell r="C93" t="str">
            <v>America/Barbados</v>
          </cell>
        </row>
        <row r="94">
          <cell r="C94" t="str">
            <v>America/Blanc-Sablon</v>
          </cell>
        </row>
        <row r="95">
          <cell r="C95" t="str">
            <v>America/Boa_Vista</v>
          </cell>
        </row>
        <row r="96">
          <cell r="C96" t="str">
            <v>America/Curacao</v>
          </cell>
        </row>
        <row r="97">
          <cell r="C97" t="str">
            <v>America/Dominica</v>
          </cell>
        </row>
        <row r="98">
          <cell r="C98" t="str">
            <v>America/Grenada</v>
          </cell>
        </row>
        <row r="99">
          <cell r="C99" t="str">
            <v>America/Guadeloupe</v>
          </cell>
        </row>
        <row r="100">
          <cell r="C100" t="str">
            <v>America/Guyana</v>
          </cell>
        </row>
        <row r="101">
          <cell r="C101" t="str">
            <v>America/Kralendijk</v>
          </cell>
        </row>
        <row r="102">
          <cell r="C102" t="str">
            <v>America/La_Paz</v>
          </cell>
        </row>
        <row r="103">
          <cell r="C103" t="str">
            <v>America/Lower_Princes</v>
          </cell>
        </row>
        <row r="104">
          <cell r="C104" t="str">
            <v>America/Manaus</v>
          </cell>
        </row>
        <row r="105">
          <cell r="C105" t="str">
            <v>America/Marigot</v>
          </cell>
        </row>
        <row r="106">
          <cell r="C106" t="str">
            <v>America/Martinique</v>
          </cell>
        </row>
        <row r="107">
          <cell r="C107" t="str">
            <v>America/Montserrat</v>
          </cell>
        </row>
        <row r="108">
          <cell r="C108" t="str">
            <v>America/Port_of_Spain</v>
          </cell>
        </row>
        <row r="109">
          <cell r="C109" t="str">
            <v>America/Porto_Velho</v>
          </cell>
        </row>
        <row r="110">
          <cell r="C110" t="str">
            <v>America/Puerto_Rico</v>
          </cell>
        </row>
        <row r="111">
          <cell r="C111" t="str">
            <v>America/Santo_Domingo</v>
          </cell>
        </row>
        <row r="112">
          <cell r="C112" t="str">
            <v>America/St_Barthelemy</v>
          </cell>
        </row>
        <row r="113">
          <cell r="C113" t="str">
            <v>America/St_Kitts</v>
          </cell>
        </row>
        <row r="114">
          <cell r="C114" t="str">
            <v>America/St_Lucia</v>
          </cell>
        </row>
        <row r="115">
          <cell r="C115" t="str">
            <v>America/St_Thomas</v>
          </cell>
        </row>
        <row r="116">
          <cell r="C116" t="str">
            <v>America/St_Vincent</v>
          </cell>
        </row>
        <row r="117">
          <cell r="C117" t="str">
            <v>America/Tortola</v>
          </cell>
        </row>
        <row r="118">
          <cell r="C118" t="str">
            <v>Etc/GMT+4</v>
          </cell>
        </row>
        <row r="119">
          <cell r="C119" t="str">
            <v>America/Santiago</v>
          </cell>
        </row>
        <row r="120">
          <cell r="C120" t="str">
            <v>America/Belem</v>
          </cell>
        </row>
        <row r="121">
          <cell r="C121" t="str">
            <v>America/Cayenne</v>
          </cell>
        </row>
        <row r="122">
          <cell r="C122" t="str">
            <v>America/Fortaleza</v>
          </cell>
        </row>
        <row r="123">
          <cell r="C123" t="str">
            <v>America/Maceio</v>
          </cell>
        </row>
        <row r="124">
          <cell r="C124" t="str">
            <v>America/Paramaribo</v>
          </cell>
        </row>
        <row r="125">
          <cell r="C125" t="str">
            <v>America/Recife</v>
          </cell>
        </row>
        <row r="126">
          <cell r="C126" t="str">
            <v>America/Santarem</v>
          </cell>
        </row>
        <row r="127">
          <cell r="C127" t="str">
            <v>Antarctica/Rothera</v>
          </cell>
        </row>
        <row r="128">
          <cell r="C128" t="str">
            <v>Atlantic/Stanley</v>
          </cell>
        </row>
        <row r="129">
          <cell r="C129" t="str">
            <v>Etc/GMT+3</v>
          </cell>
        </row>
        <row r="130">
          <cell r="C130" t="str">
            <v>America/Godthab</v>
          </cell>
        </row>
        <row r="131">
          <cell r="C131" t="str">
            <v>America/Scoresbysund</v>
          </cell>
        </row>
        <row r="132">
          <cell r="C132" t="str">
            <v>Atlantic/Azores</v>
          </cell>
        </row>
        <row r="133">
          <cell r="C133" t="str">
            <v>Atlantic/Cape_Verde</v>
          </cell>
        </row>
        <row r="134">
          <cell r="C134" t="str">
            <v>Etc/GMT+1</v>
          </cell>
        </row>
        <row r="135">
          <cell r="C135" t="str">
            <v>Atlantic/Canary</v>
          </cell>
        </row>
        <row r="136">
          <cell r="C136" t="str">
            <v>Atlantic/Faeroe</v>
          </cell>
        </row>
        <row r="137">
          <cell r="C137" t="str">
            <v>Atlantic/Madeira</v>
          </cell>
        </row>
        <row r="138">
          <cell r="C138" t="str">
            <v>Europe/Dublin</v>
          </cell>
        </row>
        <row r="139">
          <cell r="C139" t="str">
            <v>Europe/Guernsey</v>
          </cell>
        </row>
        <row r="140">
          <cell r="C140" t="str">
            <v>Europe/Isle_of_Man</v>
          </cell>
        </row>
        <row r="141">
          <cell r="C141" t="str">
            <v>Europe/Jersey</v>
          </cell>
        </row>
        <row r="142">
          <cell r="C142" t="str">
            <v>Europe/Lisbon</v>
          </cell>
        </row>
        <row r="143">
          <cell r="C143" t="str">
            <v>Europe/London</v>
          </cell>
        </row>
        <row r="144">
          <cell r="C144" t="str">
            <v>Etc/GMT+0</v>
          </cell>
        </row>
        <row r="145">
          <cell r="C145" t="str">
            <v>GMT</v>
          </cell>
        </row>
        <row r="146">
          <cell r="C146" t="str">
            <v>Africa/Abidjan</v>
          </cell>
        </row>
        <row r="147">
          <cell r="C147" t="str">
            <v>Africa/Accra</v>
          </cell>
        </row>
        <row r="148">
          <cell r="C148" t="str">
            <v>Africa/Bamako</v>
          </cell>
        </row>
        <row r="149">
          <cell r="C149" t="str">
            <v>Africa/Banjul</v>
          </cell>
        </row>
        <row r="150">
          <cell r="C150" t="str">
            <v>Africa/Bissau</v>
          </cell>
        </row>
        <row r="151">
          <cell r="C151" t="str">
            <v>Africa/Conakry</v>
          </cell>
        </row>
        <row r="152">
          <cell r="C152" t="str">
            <v>Africa/Dakar</v>
          </cell>
        </row>
        <row r="153">
          <cell r="C153" t="str">
            <v>Africa/Freetown</v>
          </cell>
        </row>
        <row r="154">
          <cell r="C154" t="str">
            <v>Africa/Lome</v>
          </cell>
        </row>
        <row r="155">
          <cell r="C155" t="str">
            <v>Africa/Monrovia</v>
          </cell>
        </row>
        <row r="156">
          <cell r="C156" t="str">
            <v>Africa/Nouakchott</v>
          </cell>
        </row>
        <row r="157">
          <cell r="C157" t="str">
            <v>Africa/Ouagadougou</v>
          </cell>
        </row>
        <row r="158">
          <cell r="C158" t="str">
            <v>Africa/Sao_Tome</v>
          </cell>
        </row>
        <row r="159">
          <cell r="C159" t="str">
            <v>Atlantic/Reykjavik</v>
          </cell>
        </row>
        <row r="160">
          <cell r="C160" t="str">
            <v>Atlantic/St_Helena</v>
          </cell>
        </row>
        <row r="161">
          <cell r="C161" t="str">
            <v>Europe/Belgrade</v>
          </cell>
        </row>
        <row r="162">
          <cell r="C162" t="str">
            <v>Europe/Bratislava</v>
          </cell>
        </row>
        <row r="163">
          <cell r="C163" t="str">
            <v>Europe/Budapest</v>
          </cell>
        </row>
        <row r="164">
          <cell r="C164" t="str">
            <v>Europe/Ljubljana</v>
          </cell>
        </row>
        <row r="165">
          <cell r="C165" t="str">
            <v>Europe/Podgorica</v>
          </cell>
        </row>
        <row r="166">
          <cell r="C166" t="str">
            <v>Europe/Prague</v>
          </cell>
        </row>
        <row r="167">
          <cell r="C167" t="str">
            <v>Europe/Tirane</v>
          </cell>
        </row>
        <row r="168">
          <cell r="C168" t="str">
            <v>Europe/Sarajevo</v>
          </cell>
        </row>
        <row r="169">
          <cell r="C169" t="str">
            <v>Europe/Skopje</v>
          </cell>
        </row>
        <row r="170">
          <cell r="C170" t="str">
            <v>Europe/Warsaw</v>
          </cell>
        </row>
        <row r="171">
          <cell r="C171" t="str">
            <v>Europe/Zagreb</v>
          </cell>
        </row>
        <row r="172">
          <cell r="C172" t="str">
            <v>Africa/Ceuta</v>
          </cell>
        </row>
        <row r="173">
          <cell r="C173" t="str">
            <v>Europe/Brussels</v>
          </cell>
        </row>
        <row r="174">
          <cell r="C174" t="str">
            <v>Europe/Copenhagen</v>
          </cell>
        </row>
        <row r="175">
          <cell r="C175" t="str">
            <v>Europe/Madrid</v>
          </cell>
        </row>
        <row r="176">
          <cell r="C176" t="str">
            <v>Europe/Paris</v>
          </cell>
        </row>
        <row r="177">
          <cell r="C177" t="str">
            <v>Africa/Cairo</v>
          </cell>
        </row>
        <row r="178">
          <cell r="C178" t="str">
            <v>Europe/Helsinki</v>
          </cell>
        </row>
        <row r="179">
          <cell r="C179" t="str">
            <v>Europe/Kiev</v>
          </cell>
        </row>
        <row r="180">
          <cell r="C180" t="str">
            <v>Europe/Mariehamn</v>
          </cell>
        </row>
        <row r="181">
          <cell r="C181" t="str">
            <v>Europe/Riga</v>
          </cell>
        </row>
        <row r="182">
          <cell r="C182" t="str">
            <v>Europe/Sofia</v>
          </cell>
        </row>
        <row r="183">
          <cell r="C183" t="str">
            <v>Europe/Tallinn</v>
          </cell>
        </row>
        <row r="184">
          <cell r="C184" t="str">
            <v>Europe/Uzhgorod</v>
          </cell>
        </row>
        <row r="185">
          <cell r="C185" t="str">
            <v>Europe/Vilnius</v>
          </cell>
        </row>
        <row r="186">
          <cell r="C186" t="str">
            <v>Europe/Zaporozhye</v>
          </cell>
        </row>
        <row r="187">
          <cell r="C187" t="str">
            <v>Asia/Nicosia</v>
          </cell>
        </row>
        <row r="188">
          <cell r="C188" t="str">
            <v>Europe/Athens</v>
          </cell>
        </row>
        <row r="189">
          <cell r="C189" t="str">
            <v>Europe/Bucharest</v>
          </cell>
        </row>
        <row r="190">
          <cell r="C190" t="str">
            <v>Asia/Jerusalem</v>
          </cell>
        </row>
        <row r="191">
          <cell r="C191" t="str">
            <v>Africa/Blantyre</v>
          </cell>
        </row>
        <row r="192">
          <cell r="C192" t="str">
            <v>Africa/Bujumbura</v>
          </cell>
        </row>
        <row r="193">
          <cell r="C193" t="str">
            <v>Africa/Gaborone</v>
          </cell>
        </row>
        <row r="194">
          <cell r="C194" t="str">
            <v>Africa/Harare</v>
          </cell>
        </row>
        <row r="195">
          <cell r="C195" t="str">
            <v>Africa/Johannesburg</v>
          </cell>
        </row>
        <row r="196">
          <cell r="C196" t="str">
            <v>Africa/Kigali</v>
          </cell>
        </row>
        <row r="197">
          <cell r="C197" t="str">
            <v>Africa/Lubumbashi</v>
          </cell>
        </row>
        <row r="198">
          <cell r="C198" t="str">
            <v>Africa/Lusaka</v>
          </cell>
        </row>
        <row r="199">
          <cell r="C199" t="str">
            <v>Africa/Maputo</v>
          </cell>
        </row>
        <row r="200">
          <cell r="C200" t="str">
            <v>Africa/Maseru</v>
          </cell>
        </row>
        <row r="201">
          <cell r="C201" t="str">
            <v>Africa/Mbabane</v>
          </cell>
        </row>
        <row r="202">
          <cell r="C202" t="str">
            <v>Etc/GMT-2</v>
          </cell>
        </row>
        <row r="203">
          <cell r="C203" t="str">
            <v>Europe/Kirov</v>
          </cell>
        </row>
        <row r="204">
          <cell r="C204" t="str">
            <v>Europe/Moscow</v>
          </cell>
        </row>
        <row r="205">
          <cell r="C205" t="str">
            <v>Europe/Simferopol</v>
          </cell>
        </row>
        <row r="206">
          <cell r="C206" t="str">
            <v>Europe/Volgograd</v>
          </cell>
        </row>
        <row r="207">
          <cell r="C207" t="str">
            <v>Asia/Aden</v>
          </cell>
        </row>
        <row r="208">
          <cell r="C208" t="str">
            <v>Asia/Bahrain</v>
          </cell>
        </row>
        <row r="209">
          <cell r="C209" t="str">
            <v>Asia/Kuwait</v>
          </cell>
        </row>
        <row r="210">
          <cell r="C210" t="str">
            <v>Asia/Qatar</v>
          </cell>
        </row>
        <row r="211">
          <cell r="C211" t="str">
            <v>Asia/Riyadh</v>
          </cell>
        </row>
        <row r="212">
          <cell r="C212" t="str">
            <v>Asia/Baghdad</v>
          </cell>
        </row>
        <row r="213">
          <cell r="C213" t="str">
            <v>Asia/Tehran</v>
          </cell>
        </row>
        <row r="214">
          <cell r="C214" t="str">
            <v>Asia/Dubai</v>
          </cell>
        </row>
        <row r="215">
          <cell r="C215" t="str">
            <v>Asia/Muscat</v>
          </cell>
        </row>
        <row r="216">
          <cell r="C216" t="str">
            <v>Etc/GMT-4</v>
          </cell>
        </row>
        <row r="217">
          <cell r="C217" t="str">
            <v>Asia/Yerevan</v>
          </cell>
        </row>
        <row r="218">
          <cell r="C218" t="str">
            <v>Asia/Yekaterinburg</v>
          </cell>
        </row>
        <row r="219">
          <cell r="C219" t="str">
            <v>Antarctica/Mawson</v>
          </cell>
        </row>
        <row r="220">
          <cell r="C220" t="str">
            <v>Asia/Aqtau</v>
          </cell>
        </row>
        <row r="221">
          <cell r="C221" t="str">
            <v>Asia/Aqtobe</v>
          </cell>
        </row>
        <row r="222">
          <cell r="C222" t="str">
            <v>Asia/Ashgabat</v>
          </cell>
        </row>
        <row r="223">
          <cell r="C223" t="str">
            <v>Asia/Atyrau</v>
          </cell>
        </row>
        <row r="224">
          <cell r="C224" t="str">
            <v>Asia/Dushanbe</v>
          </cell>
        </row>
        <row r="225">
          <cell r="C225" t="str">
            <v>Asia/Oral</v>
          </cell>
        </row>
        <row r="226">
          <cell r="C226" t="str">
            <v>Asia/Samarkand</v>
          </cell>
        </row>
        <row r="227">
          <cell r="C227" t="str">
            <v>Asia/Tashkent</v>
          </cell>
        </row>
        <row r="228">
          <cell r="C228" t="str">
            <v>Etc/GMT-5</v>
          </cell>
        </row>
        <row r="229">
          <cell r="C229" t="str">
            <v>Indian/Kerguelen</v>
          </cell>
        </row>
        <row r="230">
          <cell r="C230" t="str">
            <v>Indian/Maldives</v>
          </cell>
        </row>
        <row r="231">
          <cell r="C231" t="str">
            <v>Asia/Calcutta</v>
          </cell>
        </row>
        <row r="232">
          <cell r="C232" t="str">
            <v>Asia/Katmandu</v>
          </cell>
        </row>
        <row r="233">
          <cell r="C233" t="str">
            <v>Antarctica/Vostok</v>
          </cell>
        </row>
        <row r="234">
          <cell r="C234" t="str">
            <v>Asia/Almaty</v>
          </cell>
        </row>
        <row r="235">
          <cell r="C235" t="str">
            <v>Asia/Bishkek</v>
          </cell>
        </row>
        <row r="236">
          <cell r="C236" t="str">
            <v>Asia/Qyzylorda</v>
          </cell>
        </row>
        <row r="237">
          <cell r="C237" t="str">
            <v>Asia/Urumqi</v>
          </cell>
        </row>
        <row r="238">
          <cell r="C238" t="str">
            <v>Etc/GMT-6</v>
          </cell>
        </row>
        <row r="239">
          <cell r="C239" t="str">
            <v>Indian/Chagos</v>
          </cell>
        </row>
        <row r="240">
          <cell r="C240" t="str">
            <v>Asia/Colombo</v>
          </cell>
        </row>
        <row r="241">
          <cell r="C241" t="str">
            <v>Asia/Rangoon</v>
          </cell>
        </row>
        <row r="242">
          <cell r="C242" t="str">
            <v>Indian/Cocos</v>
          </cell>
        </row>
        <row r="243">
          <cell r="C243" t="str">
            <v>Antarctica/Davis</v>
          </cell>
        </row>
        <row r="244">
          <cell r="C244" t="str">
            <v>Asia/Bangkok</v>
          </cell>
        </row>
        <row r="245">
          <cell r="C245" t="str">
            <v>Asia/Jakarta</v>
          </cell>
        </row>
        <row r="246">
          <cell r="C246" t="str">
            <v>Asia/Phnom_Penh</v>
          </cell>
        </row>
        <row r="247">
          <cell r="C247" t="str">
            <v>Asia/Pontianak</v>
          </cell>
        </row>
        <row r="248">
          <cell r="C248" t="str">
            <v>Asia/Saigon</v>
          </cell>
        </row>
        <row r="249">
          <cell r="C249" t="str">
            <v>Asia/Vientiane</v>
          </cell>
        </row>
        <row r="250">
          <cell r="C250" t="str">
            <v>Etc/GMT-7</v>
          </cell>
        </row>
        <row r="251">
          <cell r="C251" t="str">
            <v>Indian/Christmas</v>
          </cell>
        </row>
        <row r="252">
          <cell r="C252" t="str">
            <v>Asia/Krasnoyarsk</v>
          </cell>
        </row>
        <row r="253">
          <cell r="C253" t="str">
            <v>Asia/Novokuznetsk</v>
          </cell>
        </row>
        <row r="254">
          <cell r="C254" t="str">
            <v>Asia/Hong_Kong</v>
          </cell>
        </row>
        <row r="255">
          <cell r="C255" t="str">
            <v>Asia/Macau</v>
          </cell>
        </row>
        <row r="256">
          <cell r="C256" t="str">
            <v>Asia/Shanghai</v>
          </cell>
        </row>
        <row r="257">
          <cell r="C257" t="str">
            <v>Asia/Brunei</v>
          </cell>
        </row>
        <row r="258">
          <cell r="C258" t="str">
            <v>Asia/Kuala_Lumpur</v>
          </cell>
        </row>
        <row r="259">
          <cell r="C259" t="str">
            <v>Asia/Kuching</v>
          </cell>
        </row>
        <row r="260">
          <cell r="C260" t="str">
            <v>Asia/Makassar</v>
          </cell>
        </row>
        <row r="261">
          <cell r="C261" t="str">
            <v>Asia/Manila</v>
          </cell>
        </row>
        <row r="262">
          <cell r="C262" t="str">
            <v>Asia/Singapore</v>
          </cell>
        </row>
        <row r="263">
          <cell r="C263" t="str">
            <v>Etc/GMT-8</v>
          </cell>
        </row>
        <row r="264">
          <cell r="C264" t="str">
            <v>Asia/Taipei</v>
          </cell>
        </row>
        <row r="265">
          <cell r="C265" t="str">
            <v>Asia/Irkutsk</v>
          </cell>
        </row>
        <row r="266">
          <cell r="C266" t="str">
            <v>Asia/Seoul</v>
          </cell>
        </row>
        <row r="267">
          <cell r="C267" t="str">
            <v>Asia/Dili</v>
          </cell>
        </row>
        <row r="268">
          <cell r="C268" t="str">
            <v>Asia/Jayapura</v>
          </cell>
        </row>
        <row r="269">
          <cell r="C269" t="str">
            <v>Asia/Tokyo</v>
          </cell>
        </row>
        <row r="270">
          <cell r="C270" t="str">
            <v>Etc/GMT-9</v>
          </cell>
        </row>
        <row r="271">
          <cell r="C271" t="str">
            <v>Pacific/Palau</v>
          </cell>
        </row>
        <row r="272">
          <cell r="C272" t="str">
            <v>Asia/Khandyga</v>
          </cell>
        </row>
        <row r="273">
          <cell r="C273" t="str">
            <v>Asia/Yakutsk</v>
          </cell>
        </row>
        <row r="274">
          <cell r="C274" t="str">
            <v>Australia/Darwin</v>
          </cell>
        </row>
        <row r="275">
          <cell r="C275" t="str">
            <v>Australia/Melbourne</v>
          </cell>
        </row>
        <row r="276">
          <cell r="C276" t="str">
            <v>Australia/Sydney</v>
          </cell>
        </row>
        <row r="277">
          <cell r="C277" t="str">
            <v>Australia/Currie</v>
          </cell>
        </row>
        <row r="278">
          <cell r="C278" t="str">
            <v>Australia/Hobart</v>
          </cell>
        </row>
        <row r="279">
          <cell r="C279" t="str">
            <v>Asia/Ust-Nera</v>
          </cell>
        </row>
        <row r="280">
          <cell r="C280" t="str">
            <v>Asia/Vladivostok</v>
          </cell>
        </row>
        <row r="281">
          <cell r="C281" t="str">
            <v>Antarctica/DumontDUrville</v>
          </cell>
        </row>
        <row r="282">
          <cell r="C282" t="str">
            <v>Etc/GMT-10</v>
          </cell>
        </row>
        <row r="283">
          <cell r="C283" t="str">
            <v>Pacific/Guam</v>
          </cell>
        </row>
        <row r="284">
          <cell r="C284" t="str">
            <v>Pacific/Port_Moresby</v>
          </cell>
        </row>
        <row r="285">
          <cell r="C285" t="str">
            <v>Pacific/Saipan</v>
          </cell>
        </row>
        <row r="286">
          <cell r="C286" t="str">
            <v>Pacific/Truk</v>
          </cell>
        </row>
        <row r="287">
          <cell r="C287" t="str">
            <v>Antarctica/Casey</v>
          </cell>
        </row>
        <row r="288">
          <cell r="C288" t="str">
            <v>Antarctica/Macquarie</v>
          </cell>
        </row>
        <row r="289">
          <cell r="C289" t="str">
            <v>Etc/GMT-11</v>
          </cell>
        </row>
        <row r="290">
          <cell r="C290" t="str">
            <v>Pacific/Efate</v>
          </cell>
        </row>
        <row r="291">
          <cell r="C291" t="str">
            <v>Pacific/Guadalcanal</v>
          </cell>
        </row>
        <row r="292">
          <cell r="C292" t="str">
            <v>Pacific/Kosrae</v>
          </cell>
        </row>
        <row r="293">
          <cell r="C293" t="str">
            <v>Pacific/Noumea</v>
          </cell>
        </row>
        <row r="294">
          <cell r="C294" t="str">
            <v>Pacific/Ponape</v>
          </cell>
        </row>
        <row r="295">
          <cell r="C295" t="str">
            <v>Antarctica/McMurdo</v>
          </cell>
        </row>
        <row r="296">
          <cell r="C296" t="str">
            <v>Pacific/Auckland</v>
          </cell>
        </row>
        <row r="297">
          <cell r="C297" t="str">
            <v>Pacific/Tongatapu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19CFF4-AC22-46B0-A18C-9D9F5B976E2C}" name="t_HanaScen" displayName="t_HanaScen" ref="A1:P5" totalsRowShown="0" headerRowDxfId="28">
  <autoFilter ref="A1:P5" xr:uid="{F6EA7CD8-D847-44F2-961A-FDBAA44CC0F1}"/>
  <tableColumns count="16">
    <tableColumn id="1" xr3:uid="{BA9084FA-E1B1-497E-8E69-3C4973C89EA6}" name="ID"/>
    <tableColumn id="15" xr3:uid="{86CC06BC-4495-463A-8AB3-EA551724E4D1}" name="Deployment_name"/>
    <tableColumn id="2" xr3:uid="{BA668262-8E32-4C62-B8D5-2B16DA6569D9}" name="Production"/>
    <tableColumn id="3" xr3:uid="{6ACCD5E3-EFA3-45BD-A132-D9FB90D9C9AB}" name="Workload"/>
    <tableColumn id="4" xr3:uid="{8731AEB1-D2EA-4264-9D1E-127B30266A23}" name="Version"/>
    <tableColumn id="5" xr3:uid="{A9695504-76A9-4DC5-86BB-F8117F036392}" name="HANA Memory"/>
    <tableColumn id="6" xr3:uid="{0755304F-2102-4CD4-A9C5-4A21137836C2}" name="High Availability"/>
    <tableColumn id="7" xr3:uid="{5535D6CE-90D2-4931-B0A6-DE26FF132C4C}" name="SID"/>
    <tableColumn id="8" xr3:uid="{2EAF10A3-16AC-4336-BB56-2BA234D19D38}" name="HANA Password"/>
    <tableColumn id="9" xr3:uid="{76A1B5E7-7BFC-46E1-8916-EAA65FC90BFF}" name="Operating System"/>
    <tableColumn id="10" xr3:uid="{D71F5952-D2A0-46CF-8F40-40151F209A19}" name="Server Root Password"/>
    <tableColumn id="11" xr3:uid="{9DB8ADCC-F238-4BB8-B99D-C3D4E589E18E}" name="Timezone"/>
    <tableColumn id="12" xr3:uid="{AE441FB9-811A-4753-956F-78B5056E8969}" name="NetApp SnapCreator password"/>
    <tableColumn id="13" xr3:uid="{06AFB4A3-1D68-4EA7-BCD9-3A8322CA0045}" name="URL"/>
    <tableColumn id="14" xr3:uid="{2887F79C-EFFF-457E-996C-8CB7627A13E0}" name="Function"/>
    <tableColumn id="16" xr3:uid="{72613E00-753D-4946-9315-00E81EA0AA57}" name="Tag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861249-822C-4517-B906-E0838925D692}" name="t_fe" displayName="t_fe" ref="A1:O2" totalsRowShown="0">
  <autoFilter ref="A1:O2" xr:uid="{25541E25-9840-47FC-9120-339B412EFF37}"/>
  <tableColumns count="15">
    <tableColumn id="1" xr3:uid="{91527277-9D70-4B7F-801B-2B55AE6CDDEE}" name="ID"/>
    <tableColumn id="2" xr3:uid="{22BC83CF-05E2-494D-B807-36F3116FBB5D}" name="Deployment Name"/>
    <tableColumn id="3" xr3:uid="{B7D2ED21-CAF4-4092-B1E5-A85AA85D550E}" name="Production"/>
    <tableColumn id="4" xr3:uid="{F618612A-66A9-4092-B5CF-CE2848323BFD}" name="Version"/>
    <tableColumn id="5" xr3:uid="{3A2C5236-75FA-4F55-A74E-F8D596A9F46A}" name="SID"/>
    <tableColumn id="6" xr3:uid="{953EC659-9D76-46F9-A3CC-1E7227D33600}" name="Central Instance Memory"/>
    <tableColumn id="7" xr3:uid="{EDA1136D-B886-472C-8FCA-49E7150DF712}" name="Additional ASI Memory"/>
    <tableColumn id="8" xr3:uid="{DD98EBBD-BB06-4484-B8EC-F66379F9482B}" name="Additional ASIs"/>
    <tableColumn id="9" xr3:uid="{8566AE94-A616-4460-BB44-CDD4433AD6D1}" name="High Availability"/>
    <tableColumn id="10" xr3:uid="{6A092E80-C4DE-4A49-AD60-EE2C41053153}" name="NetWeaver Master Password"/>
    <tableColumn id="11" xr3:uid="{8DCD5E65-25E5-49A0-A773-E0FE49409CEF}" name="Operating System"/>
    <tableColumn id="12" xr3:uid="{773234B4-CF2C-4074-AEE7-1ABBC6BB66FE}" name="Server Root Password"/>
    <tableColumn id="13" xr3:uid="{CDB3B2E7-74D2-42C5-90E8-BBDAC5E64FEA}" name="Timezone"/>
    <tableColumn id="14" xr3:uid="{429A3B77-AFEB-4DA5-BA83-A9CAEEF242D6}" name="Landscape ID"/>
    <tableColumn id="15" xr3:uid="{E42B9B19-0EE5-4B85-8102-D088086B3922}" name="Ta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BABC0A-AF89-48CE-B0A9-2B8CEB3BAB0D}" name="t_nw" displayName="t_nw" ref="A1:AD2" totalsRowShown="0" headerRowDxfId="26">
  <autoFilter ref="A1:AD2" xr:uid="{D9C6AE10-6444-455E-A2B6-7005062AE9AD}"/>
  <tableColumns count="30">
    <tableColumn id="1" xr3:uid="{A0F77BA8-26F4-4C10-B9A8-295D6A7028ED}" name="ID"/>
    <tableColumn id="2" xr3:uid="{CBEACA80-7872-4F53-AA8B-2309F2022987}" name="Deployment Name"/>
    <tableColumn id="3" xr3:uid="{8D86D457-1A80-42C7-98D0-CEE1C8C4CC89}" name="Production"/>
    <tableColumn id="4" xr3:uid="{857781E9-C4BB-4B9D-97BA-0012D2869896}" name="Version"/>
    <tableColumn id="5" xr3:uid="{69817C59-7C60-45C9-BDC5-9A3845447C63}" name="NetWeaver Stack"/>
    <tableColumn id="6" xr3:uid="{0A39780D-7ECB-4849-AD0A-062FAF546D04}" name="SID"/>
    <tableColumn id="7" xr3:uid="{C3743574-FF5D-4AC9-A5F8-ECD580AAC380}" name="CI Memory"/>
    <tableColumn id="8" xr3:uid="{F3264BF6-86AF-4A23-8CC3-2E3BD593AA92}" name="Additional ASI Memory"/>
    <tableColumn id="9" xr3:uid="{1795A8E3-E11A-4A52-9758-0A99FFD84B7E}" name="Additional ASIs"/>
    <tableColumn id="10" xr3:uid="{50A25336-958C-4853-8747-343E762D3DC5}" name="HA"/>
    <tableColumn id="11" xr3:uid="{C8DE8BDA-D724-49DB-9B26-04BC2B7E3AC1}" name="NW Master Password"/>
    <tableColumn id="12" xr3:uid="{2B9BA0D6-42B2-4331-94EE-979C04A30DDC}" name="Operating System"/>
    <tableColumn id="13" xr3:uid="{FDA5DBEF-1499-4861-9899-8D32B2384829}" name="Server Root Password"/>
    <tableColumn id="14" xr3:uid="{19ABD25E-16A8-4560-A610-B74E3545135F}" name="Time Zone"/>
    <tableColumn id="15" xr3:uid="{A52DE816-9FA8-4A5D-9D1D-DD8EC087B2FD}" name="Landscape ID"/>
    <tableColumn id="16" xr3:uid="{901F5398-132C-45CF-A7BE-5CAB93077DF5}" name="DB Deployment Name"/>
    <tableColumn id="17" xr3:uid="{7DBA9576-C483-4184-A3D6-34A2F0CEAAAE}" name="DB SID"/>
    <tableColumn id="18" xr3:uid="{0A2DE666-2616-4903-8B75-7F6B415211AE}" name="DB Schema Name"/>
    <tableColumn id="19" xr3:uid="{24658EC8-6CB6-47F8-A211-F04F94500EE3}" name="DB Password"/>
    <tableColumn id="20" xr3:uid="{4B77C531-C5D5-4ECC-8575-50FEF24C44B5}" name="DB Host"/>
    <tableColumn id="21" xr3:uid="{62587E89-3A24-49C9-8149-043FF7D12CE2}" name="DB Port"/>
    <tableColumn id="22" xr3:uid="{2FBF1759-98A5-4F31-9FAF-39D9A4084CCA}" name="FE Deployment Name"/>
    <tableColumn id="23" xr3:uid="{C2CCC976-3AF3-4A18-A62F-9686BF793E23}" name="FE SID"/>
    <tableColumn id="24" xr3:uid="{16C23031-1409-4061-9F3D-B853E1B4FD03}" name="FE Admin Name"/>
    <tableColumn id="25" xr3:uid="{9C2B5954-85BC-4BFA-A363-A57D879A9F3D}" name="FE Password"/>
    <tableColumn id="26" xr3:uid="{25B13812-907E-472A-A8B6-69EA2E80F393}" name="FE Host"/>
    <tableColumn id="27" xr3:uid="{54DB78BE-83EE-4038-9E14-1046A467B759}" name="FE IP"/>
    <tableColumn id="29" xr3:uid="{2FAA61BF-12F1-4B9C-B0EB-E5FEA8AB5C34}" name="URL"/>
    <tableColumn id="30" xr3:uid="{ECFA7274-4EC0-4250-ACF4-5A39F72458EA}" name="Max Duration"/>
    <tableColumn id="28" xr3:uid="{73314E0B-4667-4A99-95B0-8CE55EFAD6B2}" name="Tag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D0BB13-9471-403E-9716-9C1E5BC518B0}" name="t_topology" displayName="t_topology" ref="A1:D5" totalsRowShown="0">
  <autoFilter ref="A1:D5" xr:uid="{07C53103-1CBC-4355-A98B-82BF45820E1D}"/>
  <tableColumns count="4">
    <tableColumn id="1" xr3:uid="{A2FEC1D7-C8EC-44E7-8188-7D2866809FC1}" name="ID - unique"/>
    <tableColumn id="2" xr3:uid="{41C3A129-BA94-47FD-937B-28ABC9640300}" name="Column1"/>
    <tableColumn id="3" xr3:uid="{080096FC-8BC1-4DDF-9902-B9B10CF76E32}" name="Column2"/>
    <tableColumn id="4" xr3:uid="{A7C702E2-4613-4A2D-ACA4-2ECE0607F135}" name="Column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530A34-75ED-44CA-8A92-B1EF665A3132}" name="Table1" displayName="Table1" ref="A59:X71" totalsRowShown="0" headerRowDxfId="25" dataDxfId="24">
  <autoFilter ref="A59:X71" xr:uid="{2954DA9C-C0EB-4E11-B0FE-BA86ADB74E96}"/>
  <tableColumns count="24">
    <tableColumn id="1" xr3:uid="{2A003159-EC25-4113-BFF4-6FDE4BF20242}" name="BWoH Production Memory Size Labels" dataDxfId="23"/>
    <tableColumn id="2" xr3:uid="{DB7A7492-B252-46EB-8378-68CD53312BA6}" name="Workload" dataDxfId="22"/>
    <tableColumn id="3" xr3:uid="{428E8193-BC17-4681-A358-81E3DACEB862}" name="BWoH Production Memory Size GiB" dataDxfId="21"/>
    <tableColumn id="4" xr3:uid="{C2BE5F22-50D5-4C97-B5F6-D13C74317C3C}" name="BWoH Production Memory Size Bytes" dataDxfId="20"/>
    <tableColumn id="5" xr3:uid="{D170E4D8-ED63-43D9-9712-3E70A0F60954}" name="Cores" dataDxfId="19">
      <calculatedColumnFormula>VLOOKUP(H60,Server_Info,7)*($D60/K60)</calculatedColumnFormula>
    </tableColumn>
    <tableColumn id="6" xr3:uid="{D93E1BAA-B5AB-460C-91AF-CD966A8C58C5}" name="Machine" dataDxfId="18"/>
    <tableColumn id="7" xr3:uid="{54B2C4F7-20D5-4034-9881-7119E368858C}" name="Scaling paradigm" dataDxfId="17">
      <calculatedColumnFormula>IF($D60&lt;=J60, "Up", "Out")</calculatedColumnFormula>
    </tableColumn>
    <tableColumn id="8" xr3:uid="{4F0C4689-4DBD-4CD1-B617-1B187D8273A2}" name="Resource" dataDxfId="16"/>
    <tableColumn id="9" xr3:uid="{193C4D57-47B5-4B31-931D-DB6D730CC9CA}" name="CPU" dataDxfId="15">
      <calculatedColumnFormula>VLOOKUP(H60, Server_Info,2,FALSE)</calculatedColumnFormula>
    </tableColumn>
    <tableColumn id="10" xr3:uid="{72EA1F97-5F09-4FB0-9517-6DCBC5F88F94}" name="Consumable" dataDxfId="14">
      <calculatedColumnFormula>MIN(VLOOKUP(F60 &amp; " " &amp; $B60 &amp;" " &amp; I60, Machine_Workload_CPU_Tuple, 2, FALSE)*VLOOKUP(H60,Server_Info,3,FALSE),VLOOKUP(F60, Machine_Information,2,FALSE))</calculatedColumnFormula>
    </tableColumn>
    <tableColumn id="11" xr3:uid="{3292DC33-FFFA-4C5A-A5DF-9B9D13EF42E6}" name="Total" dataDxfId="13">
      <calculatedColumnFormula>VLOOKUP(H60, Server_Info, 8, FALSE)</calculatedColumnFormula>
    </tableColumn>
    <tableColumn id="12" xr3:uid="{1730BB69-21B1-48A2-8797-E4E81A4FDAF3}" name="Required Severs" dataDxfId="12">
      <calculatedColumnFormula>IF(AND(EXACT(G60,"Up"), $D60&gt;J60),"Not Supported", $D60/J60)</calculatedColumnFormula>
    </tableColumn>
    <tableColumn id="13" xr3:uid="{A57897EE-058B-48FC-BD5B-D6617AB4F12D}" name="Standby Servers" dataDxfId="11">
      <calculatedColumnFormula>VLOOKUP(F60, Machine_Information,3,FALSE)</calculatedColumnFormula>
    </tableColumn>
    <tableColumn id="14" xr3:uid="{29B08F25-F165-4276-B76E-AACFEEC07E64}" name="Unused Capacity" dataDxfId="10">
      <calculatedColumnFormula>((IF((L60-ROUNDDOWN(L60,0))=0,0,1-(L60-ROUNDDOWN(L60,0)))*J60)+(ROUNDUP(L60,0)*(K60-J60)))</calculatedColumnFormula>
    </tableColumn>
    <tableColumn id="15" xr3:uid="{85F4A4AB-1388-4708-87A7-DA83A3CDFF14}" name="Cores2" dataDxfId="9">
      <calculatedColumnFormula>VLOOKUP(R60,Server_Info,7)*($D60/U60)</calculatedColumnFormula>
    </tableColumn>
    <tableColumn id="16" xr3:uid="{26A64FCF-2A9B-48FC-B384-24E8C22974D1}" name="Machine3" dataDxfId="8"/>
    <tableColumn id="17" xr3:uid="{68FA8395-15E6-4B77-843D-E796583A74D2}" name="Scaling paradigm4" dataDxfId="7"/>
    <tableColumn id="18" xr3:uid="{3929C6EE-25D1-4C58-9E02-25E455349F68}" name="Resource5" dataDxfId="6"/>
    <tableColumn id="19" xr3:uid="{C7F48D46-FBDA-452C-B61F-92DE3A4004CE}" name="CPU6" dataDxfId="5">
      <calculatedColumnFormula>VLOOKUP(R60, Server_Info,2,FALSE)</calculatedColumnFormula>
    </tableColumn>
    <tableColumn id="20" xr3:uid="{2A8AAEBC-82B1-4082-AC4B-1B716465A417}" name="Consumable7" dataDxfId="4">
      <calculatedColumnFormula>MIN(VLOOKUP(P60 &amp; " " &amp; $B60 &amp;" " &amp; S60, Machine_Workload_CPU_Tuple, 2, FALSE)*VLOOKUP(R60,Server_Info,3,FALSE),VLOOKUP(P60, Machine_Information,2,FALSE))</calculatedColumnFormula>
    </tableColumn>
    <tableColumn id="21" xr3:uid="{5E16464F-B60D-44B4-867F-71AAE8E40042}" name="Total8" dataDxfId="3">
      <calculatedColumnFormula>VLOOKUP(R60, Server_Info, 8, FALSE)</calculatedColumnFormula>
    </tableColumn>
    <tableColumn id="22" xr3:uid="{BE095D7E-747D-42CC-8413-281B54432E2D}" name="Required Severs9" dataDxfId="2">
      <calculatedColumnFormula>IF(AND(EXACT(Q60,"Up"), $D60&gt;T60),"Not Supported", $D60/T60)</calculatedColumnFormula>
    </tableColumn>
    <tableColumn id="23" xr3:uid="{80458F60-2D65-43BB-8805-C4D95B75842C}" name="Standby Servers10" dataDxfId="1">
      <calculatedColumnFormula>VLOOKUP(P60, Machine_Information,3,FALSE)</calculatedColumnFormula>
    </tableColumn>
    <tableColumn id="24" xr3:uid="{DB15787B-8062-47F3-988D-CD0458592A2A}" name="Unused Capacity11" dataDxfId="0">
      <calculatedColumnFormula>((IF((V60-ROUNDDOWN(V60,0))=0,0,1-(V60-ROUNDDOWN(V60,0)))*T60)+(ROUNDUP(V60,0)*(U60-T60)))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HanaScen"/>
  <dimension ref="A1:P5"/>
  <sheetViews>
    <sheetView workbookViewId="0">
      <selection activeCell="I11" sqref="I11"/>
    </sheetView>
  </sheetViews>
  <sheetFormatPr defaultColWidth="8.85546875" defaultRowHeight="15" x14ac:dyDescent="0.25"/>
  <cols>
    <col min="1" max="1" width="8.85546875" style="1"/>
    <col min="2" max="2" width="19.7109375" style="1" customWidth="1"/>
    <col min="3" max="3" width="20.85546875" customWidth="1"/>
    <col min="4" max="4" width="15.28515625" customWidth="1"/>
    <col min="5" max="5" width="9.28515625" customWidth="1"/>
    <col min="6" max="6" width="15.5703125" customWidth="1"/>
    <col min="7" max="7" width="16.28515625" customWidth="1"/>
    <col min="8" max="8" width="8.28515625" customWidth="1"/>
    <col min="9" max="9" width="16.28515625" customWidth="1"/>
    <col min="10" max="10" width="17.7109375" customWidth="1"/>
    <col min="11" max="11" width="21.140625" customWidth="1"/>
    <col min="12" max="12" width="17.85546875" customWidth="1"/>
    <col min="13" max="13" width="28.7109375" customWidth="1"/>
    <col min="14" max="14" width="16.7109375" customWidth="1"/>
    <col min="15" max="15" width="10.28515625" customWidth="1"/>
  </cols>
  <sheetData>
    <row r="1" spans="1:16" s="2" customFormat="1" x14ac:dyDescent="0.25">
      <c r="A1" s="2" t="s">
        <v>30</v>
      </c>
      <c r="B1" s="2" t="s">
        <v>77</v>
      </c>
      <c r="C1" s="2" t="s">
        <v>1</v>
      </c>
      <c r="D1" s="2" t="s">
        <v>24</v>
      </c>
      <c r="E1" s="2" t="s">
        <v>3</v>
      </c>
      <c r="F1" s="2" t="s">
        <v>26</v>
      </c>
      <c r="G1" s="2" t="s">
        <v>13</v>
      </c>
      <c r="H1" s="2" t="s">
        <v>6</v>
      </c>
      <c r="I1" s="2" t="s">
        <v>27</v>
      </c>
      <c r="J1" s="2" t="s">
        <v>15</v>
      </c>
      <c r="K1" s="2" t="s">
        <v>17</v>
      </c>
      <c r="L1" s="2" t="s">
        <v>18</v>
      </c>
      <c r="M1" s="2" t="s">
        <v>29</v>
      </c>
      <c r="N1" s="2" t="s">
        <v>39</v>
      </c>
      <c r="O1" s="2" t="s">
        <v>34</v>
      </c>
      <c r="P1" s="2" t="s">
        <v>72</v>
      </c>
    </row>
    <row r="2" spans="1:16" x14ac:dyDescent="0.25">
      <c r="A2" s="1" t="s">
        <v>40</v>
      </c>
      <c r="B2" s="1" t="s">
        <v>55</v>
      </c>
      <c r="C2" s="1" t="s">
        <v>2</v>
      </c>
      <c r="D2" s="1" t="s">
        <v>31</v>
      </c>
      <c r="E2" s="1" t="s">
        <v>33</v>
      </c>
      <c r="F2" s="1" t="s">
        <v>214</v>
      </c>
      <c r="G2" s="1" t="s">
        <v>2</v>
      </c>
      <c r="H2" s="1" t="s">
        <v>22</v>
      </c>
      <c r="I2" s="1" t="s">
        <v>36</v>
      </c>
      <c r="J2" s="1" t="s">
        <v>28</v>
      </c>
      <c r="K2" s="1" t="s">
        <v>36</v>
      </c>
      <c r="L2" s="1" t="s">
        <v>19</v>
      </c>
      <c r="M2" s="1" t="s">
        <v>36</v>
      </c>
      <c r="O2" t="s">
        <v>43</v>
      </c>
      <c r="P2" s="3" t="s">
        <v>84</v>
      </c>
    </row>
    <row r="3" spans="1:16" x14ac:dyDescent="0.25">
      <c r="A3" s="1" t="s">
        <v>41</v>
      </c>
      <c r="B3" s="1" t="s">
        <v>78</v>
      </c>
      <c r="C3" s="1" t="s">
        <v>2</v>
      </c>
      <c r="D3" s="1" t="s">
        <v>31</v>
      </c>
      <c r="E3" s="1" t="s">
        <v>33</v>
      </c>
      <c r="F3" s="1" t="s">
        <v>219</v>
      </c>
      <c r="G3" s="1" t="s">
        <v>2</v>
      </c>
      <c r="H3" s="1" t="s">
        <v>22</v>
      </c>
      <c r="I3" s="1" t="s">
        <v>36</v>
      </c>
      <c r="J3" s="1" t="s">
        <v>28</v>
      </c>
      <c r="K3" s="1" t="s">
        <v>36</v>
      </c>
      <c r="L3" s="1" t="s">
        <v>19</v>
      </c>
      <c r="M3" s="1" t="s">
        <v>36</v>
      </c>
      <c r="O3" t="s">
        <v>44</v>
      </c>
      <c r="P3" s="3" t="s">
        <v>85</v>
      </c>
    </row>
    <row r="4" spans="1:16" x14ac:dyDescent="0.25">
      <c r="A4" s="1" t="s">
        <v>42</v>
      </c>
      <c r="B4" s="1" t="s">
        <v>79</v>
      </c>
      <c r="C4" s="1" t="s">
        <v>2</v>
      </c>
      <c r="D4" s="1" t="s">
        <v>31</v>
      </c>
      <c r="E4" s="1" t="s">
        <v>33</v>
      </c>
      <c r="F4" s="1" t="s">
        <v>220</v>
      </c>
      <c r="G4" s="1" t="s">
        <v>2</v>
      </c>
      <c r="H4" s="1" t="s">
        <v>22</v>
      </c>
      <c r="I4" s="1" t="s">
        <v>36</v>
      </c>
      <c r="J4" s="1" t="s">
        <v>28</v>
      </c>
      <c r="K4" s="1" t="s">
        <v>36</v>
      </c>
      <c r="L4" s="1" t="s">
        <v>19</v>
      </c>
      <c r="M4" s="1" t="s">
        <v>36</v>
      </c>
      <c r="P4" s="3" t="s">
        <v>86</v>
      </c>
    </row>
    <row r="5" spans="1:16" x14ac:dyDescent="0.25">
      <c r="A5" s="1" t="s">
        <v>54</v>
      </c>
      <c r="B5" s="1" t="s">
        <v>80</v>
      </c>
      <c r="C5" s="1" t="s">
        <v>2</v>
      </c>
      <c r="D5" s="1" t="s">
        <v>31</v>
      </c>
      <c r="E5" s="1" t="s">
        <v>33</v>
      </c>
      <c r="F5" s="1" t="s">
        <v>221</v>
      </c>
      <c r="G5" s="1" t="s">
        <v>2</v>
      </c>
      <c r="H5" s="1" t="s">
        <v>22</v>
      </c>
      <c r="I5" s="1" t="s">
        <v>36</v>
      </c>
      <c r="J5" s="1" t="s">
        <v>28</v>
      </c>
      <c r="K5" s="1" t="s">
        <v>36</v>
      </c>
      <c r="L5" s="1" t="s">
        <v>19</v>
      </c>
      <c r="M5" s="1" t="s">
        <v>36</v>
      </c>
      <c r="P5" s="3" t="s">
        <v>87</v>
      </c>
    </row>
  </sheetData>
  <dataValidations count="7">
    <dataValidation type="list" allowBlank="1" showInputMessage="1" showErrorMessage="1" sqref="L2:L5" xr:uid="{00000000-0002-0000-0B00-000000000000}">
      <formula1>TimeZones_Linux</formula1>
    </dataValidation>
    <dataValidation type="list" allowBlank="1" showInputMessage="1" showErrorMessage="1" sqref="J2:J5" xr:uid="{00000000-0002-0000-0B00-000001000000}">
      <formula1>Supported_Operating_Systems</formula1>
    </dataValidation>
    <dataValidation type="textLength" allowBlank="1" showInputMessage="1" showErrorMessage="1" sqref="H2:H5" xr:uid="{00000000-0002-0000-0B00-000002000000}">
      <formula1>3</formula1>
      <formula2>3</formula2>
    </dataValidation>
    <dataValidation type="list" allowBlank="1" showInputMessage="1" showErrorMessage="1" sqref="E2:E5" xr:uid="{00000000-0002-0000-0B00-000003000000}">
      <formula1>#REF!</formula1>
    </dataValidation>
    <dataValidation type="list" allowBlank="1" showInputMessage="1" showErrorMessage="1" sqref="C2:C5 G2:G5" xr:uid="{00000000-0002-0000-0B00-000005000000}">
      <formula1>#REF!</formula1>
    </dataValidation>
    <dataValidation type="list" allowBlank="1" showInputMessage="1" showErrorMessage="1" sqref="D2:D5" xr:uid="{00000000-0002-0000-0B00-000006000000}">
      <formula1>#REF!</formula1>
    </dataValidation>
    <dataValidation type="list" allowBlank="1" showInputMessage="1" showErrorMessage="1" sqref="F2:F5" xr:uid="{83ED56B6-A2A2-4A20-B514-755E296DDA0F}">
      <formula1>INDIRECT("table1[BWoH Production Memory Size Labels]")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tFEScen"/>
  <dimension ref="A1:O2"/>
  <sheetViews>
    <sheetView topLeftCell="F1" workbookViewId="0">
      <selection activeCell="O2" sqref="O2"/>
    </sheetView>
  </sheetViews>
  <sheetFormatPr defaultColWidth="9" defaultRowHeight="15" x14ac:dyDescent="0.25"/>
  <cols>
    <col min="1" max="1" width="9" style="1"/>
    <col min="2" max="2" width="18.7109375" style="1" customWidth="1"/>
    <col min="3" max="3" width="20.85546875" style="1" customWidth="1"/>
    <col min="4" max="4" width="9.28515625" style="1" customWidth="1"/>
    <col min="5" max="5" width="8.28515625" style="1" customWidth="1"/>
    <col min="6" max="6" width="24.140625" style="1" customWidth="1"/>
    <col min="7" max="7" width="22.42578125" style="1" customWidth="1"/>
    <col min="8" max="8" width="17.7109375" style="1" customWidth="1"/>
    <col min="9" max="9" width="21.140625" style="1" customWidth="1"/>
    <col min="10" max="10" width="27.140625" style="1" customWidth="1"/>
    <col min="11" max="11" width="28.7109375" style="1" customWidth="1"/>
    <col min="12" max="12" width="21.140625" style="1" customWidth="1"/>
    <col min="13" max="13" width="18.7109375" style="1" customWidth="1"/>
    <col min="14" max="14" width="14" style="1" customWidth="1"/>
    <col min="15" max="16384" width="9" style="1"/>
  </cols>
  <sheetData>
    <row r="1" spans="1:15" s="2" customFormat="1" x14ac:dyDescent="0.25">
      <c r="A1" t="s">
        <v>30</v>
      </c>
      <c r="B1" t="s">
        <v>0</v>
      </c>
      <c r="C1" t="s">
        <v>1</v>
      </c>
      <c r="D1" t="s">
        <v>3</v>
      </c>
      <c r="E1" t="s">
        <v>6</v>
      </c>
      <c r="F1" t="s">
        <v>8</v>
      </c>
      <c r="G1" t="s">
        <v>10</v>
      </c>
      <c r="H1" t="s">
        <v>12</v>
      </c>
      <c r="I1" t="s">
        <v>13</v>
      </c>
      <c r="J1" t="s">
        <v>14</v>
      </c>
      <c r="K1" t="s">
        <v>15</v>
      </c>
      <c r="L1" t="s">
        <v>17</v>
      </c>
      <c r="M1" t="s">
        <v>18</v>
      </c>
      <c r="N1" t="s">
        <v>20</v>
      </c>
      <c r="O1" s="2" t="s">
        <v>72</v>
      </c>
    </row>
    <row r="2" spans="1:15" x14ac:dyDescent="0.25">
      <c r="A2" t="s">
        <v>81</v>
      </c>
      <c r="B2" t="s">
        <v>45</v>
      </c>
      <c r="C2" s="1" t="s">
        <v>2</v>
      </c>
      <c r="D2" t="s">
        <v>25</v>
      </c>
      <c r="E2" t="s">
        <v>82</v>
      </c>
      <c r="F2" t="s">
        <v>9</v>
      </c>
      <c r="G2" s="1" t="s">
        <v>9</v>
      </c>
      <c r="H2" t="s">
        <v>28</v>
      </c>
      <c r="I2" t="s">
        <v>2</v>
      </c>
      <c r="J2" t="s">
        <v>83</v>
      </c>
      <c r="K2" t="s">
        <v>32</v>
      </c>
      <c r="L2" t="s">
        <v>17</v>
      </c>
      <c r="M2" t="s">
        <v>38</v>
      </c>
      <c r="N2" t="s">
        <v>21</v>
      </c>
      <c r="O2" s="1" t="s">
        <v>88</v>
      </c>
    </row>
  </sheetData>
  <dataValidations count="5">
    <dataValidation type="textLength" allowBlank="1" showInputMessage="1" showErrorMessage="1" sqref="E2" xr:uid="{00000000-0002-0000-0C00-000000000000}">
      <formula1>3</formula1>
      <formula2>3</formula2>
    </dataValidation>
    <dataValidation type="list" allowBlank="1" showInputMessage="1" showErrorMessage="1" sqref="H2" xr:uid="{00000000-0002-0000-0C00-000001000000}">
      <formula1>Supported_Operating_Systems</formula1>
    </dataValidation>
    <dataValidation type="list" allowBlank="1" showInputMessage="1" showErrorMessage="1" sqref="J2" xr:uid="{00000000-0002-0000-0C00-000002000000}">
      <formula1>TimeZones_Linux</formula1>
    </dataValidation>
    <dataValidation type="list" allowBlank="1" showInputMessage="1" showErrorMessage="1" sqref="F2:G2 C2" xr:uid="{00000000-0002-0000-0C00-000004000000}">
      <formula1>#REF!</formula1>
    </dataValidation>
    <dataValidation type="list" allowBlank="1" showInputMessage="1" showErrorMessage="1" sqref="D2" xr:uid="{00000000-0002-0000-0C00-000006000000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NWScen"/>
  <dimension ref="A1:AD13"/>
  <sheetViews>
    <sheetView workbookViewId="0">
      <selection activeCell="H2" sqref="H2"/>
    </sheetView>
  </sheetViews>
  <sheetFormatPr defaultColWidth="9" defaultRowHeight="15" x14ac:dyDescent="0.25"/>
  <cols>
    <col min="1" max="1" width="9" style="1"/>
    <col min="2" max="2" width="20.85546875" style="1" customWidth="1"/>
    <col min="3" max="3" width="15.28515625" style="1" customWidth="1"/>
    <col min="4" max="4" width="18" style="1" bestFit="1" customWidth="1"/>
    <col min="5" max="5" width="20" style="1" bestFit="1" customWidth="1"/>
    <col min="6" max="6" width="16.28515625" style="1" customWidth="1"/>
    <col min="7" max="7" width="8.28515625" style="1" customWidth="1"/>
    <col min="8" max="8" width="16.28515625" style="1" customWidth="1"/>
    <col min="9" max="9" width="17.7109375" style="1" customWidth="1"/>
    <col min="10" max="10" width="21.140625" style="1" customWidth="1"/>
    <col min="11" max="11" width="17.85546875" style="1" bestFit="1" customWidth="1"/>
    <col min="12" max="12" width="28.7109375" style="1" customWidth="1"/>
    <col min="13" max="13" width="16.7109375" style="1" customWidth="1"/>
    <col min="14" max="16384" width="9" style="1"/>
  </cols>
  <sheetData>
    <row r="1" spans="1:30" s="2" customFormat="1" x14ac:dyDescent="0.25">
      <c r="A1" s="2" t="s">
        <v>30</v>
      </c>
      <c r="B1" s="2" t="s">
        <v>0</v>
      </c>
      <c r="C1" s="2" t="s">
        <v>1</v>
      </c>
      <c r="D1" s="2" t="s">
        <v>3</v>
      </c>
      <c r="E1" s="2" t="s">
        <v>4</v>
      </c>
      <c r="F1" s="2" t="s">
        <v>6</v>
      </c>
      <c r="G1" s="2" t="s">
        <v>56</v>
      </c>
      <c r="H1" s="2" t="s">
        <v>10</v>
      </c>
      <c r="I1" s="2" t="s">
        <v>12</v>
      </c>
      <c r="J1" s="2" t="s">
        <v>57</v>
      </c>
      <c r="K1" s="2" t="s">
        <v>58</v>
      </c>
      <c r="L1" s="2" t="s">
        <v>15</v>
      </c>
      <c r="M1" s="2" t="s">
        <v>17</v>
      </c>
      <c r="N1" s="2" t="s">
        <v>59</v>
      </c>
      <c r="O1" s="2" t="s">
        <v>20</v>
      </c>
      <c r="P1" s="2" t="s">
        <v>60</v>
      </c>
      <c r="Q1" s="2" t="s">
        <v>61</v>
      </c>
      <c r="R1" s="2" t="s">
        <v>62</v>
      </c>
      <c r="S1" s="2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2" t="s">
        <v>68</v>
      </c>
      <c r="Y1" s="2" t="s">
        <v>69</v>
      </c>
      <c r="Z1" s="2" t="s">
        <v>70</v>
      </c>
      <c r="AA1" s="2" t="s">
        <v>71</v>
      </c>
      <c r="AB1" s="2" t="s">
        <v>39</v>
      </c>
      <c r="AC1" s="2" t="s">
        <v>73</v>
      </c>
      <c r="AD1" s="2" t="s">
        <v>72</v>
      </c>
    </row>
    <row r="2" spans="1:30" x14ac:dyDescent="0.25">
      <c r="A2" s="1" t="s">
        <v>74</v>
      </c>
      <c r="B2" s="1" t="s">
        <v>75</v>
      </c>
      <c r="C2" s="1" t="s">
        <v>2</v>
      </c>
      <c r="D2" s="1" t="s">
        <v>35</v>
      </c>
      <c r="E2" s="1" t="s">
        <v>5</v>
      </c>
      <c r="F2" s="1" t="s">
        <v>7</v>
      </c>
      <c r="G2" s="1" t="s">
        <v>9</v>
      </c>
      <c r="H2" s="1" t="s">
        <v>11</v>
      </c>
      <c r="I2" s="1">
        <v>1</v>
      </c>
      <c r="J2" s="1" t="s">
        <v>2</v>
      </c>
      <c r="K2" s="1" t="s">
        <v>36</v>
      </c>
      <c r="L2" s="1" t="s">
        <v>16</v>
      </c>
      <c r="M2" s="1" t="s">
        <v>36</v>
      </c>
      <c r="N2" s="1" t="s">
        <v>38</v>
      </c>
      <c r="O2" s="1" t="s">
        <v>21</v>
      </c>
      <c r="P2" s="1" t="s">
        <v>37</v>
      </c>
      <c r="Q2" s="1" t="s">
        <v>22</v>
      </c>
      <c r="R2" s="1" t="s">
        <v>23</v>
      </c>
      <c r="S2" s="1" t="s">
        <v>36</v>
      </c>
      <c r="W2" s="1" t="s">
        <v>22</v>
      </c>
      <c r="X2" s="1" t="s">
        <v>23</v>
      </c>
      <c r="Y2" s="1" t="s">
        <v>36</v>
      </c>
      <c r="AB2" s="1" t="s">
        <v>76</v>
      </c>
      <c r="AC2" s="1">
        <v>1800</v>
      </c>
      <c r="AD2" s="1" t="s">
        <v>23</v>
      </c>
    </row>
    <row r="13" spans="1:30" x14ac:dyDescent="0.25">
      <c r="I13" s="4"/>
    </row>
  </sheetData>
  <dataValidations count="4">
    <dataValidation type="list" allowBlank="1" showInputMessage="1" showErrorMessage="1" sqref="K2" xr:uid="{B031EC63-1F9A-4A07-89FD-3D537DD9E5B5}">
      <formula1>TimeZones_Linux</formula1>
    </dataValidation>
    <dataValidation type="list" allowBlank="1" showInputMessage="1" showErrorMessage="1" sqref="I2" xr:uid="{326D495C-2BFB-4B91-BCDB-E5E952A7B9D7}">
      <formula1>Supported_Operating_Systems</formula1>
    </dataValidation>
    <dataValidation type="textLength" allowBlank="1" showInputMessage="1" showErrorMessage="1" sqref="G2" xr:uid="{6D5BD82F-3548-40CE-A070-AA3E2CBFB29D}">
      <formula1>3</formula1>
      <formula2>3</formula2>
    </dataValidation>
    <dataValidation type="list" allowBlank="1" showInputMessage="1" showErrorMessage="1" sqref="C2:F2" xr:uid="{02968D22-B002-41B9-AABC-143423D37565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tLandscapes"/>
  <dimension ref="A1:K5"/>
  <sheetViews>
    <sheetView workbookViewId="0">
      <selection activeCell="J10" sqref="J10"/>
    </sheetView>
  </sheetViews>
  <sheetFormatPr defaultColWidth="8.85546875" defaultRowHeight="15" x14ac:dyDescent="0.25"/>
  <cols>
    <col min="1" max="1" width="12.42578125" bestFit="1" customWidth="1"/>
    <col min="2" max="4" width="10.42578125" customWidth="1"/>
    <col min="10" max="10" width="13.28515625" bestFit="1" customWidth="1"/>
  </cols>
  <sheetData>
    <row r="1" spans="1:11" x14ac:dyDescent="0.25">
      <c r="A1" t="s">
        <v>53</v>
      </c>
      <c r="B1" t="s">
        <v>46</v>
      </c>
      <c r="C1" t="s">
        <v>47</v>
      </c>
      <c r="D1" t="s">
        <v>48</v>
      </c>
      <c r="J1" t="s">
        <v>362</v>
      </c>
      <c r="K1" t="s">
        <v>52</v>
      </c>
    </row>
    <row r="2" spans="1:11" x14ac:dyDescent="0.25">
      <c r="A2" t="s">
        <v>89</v>
      </c>
      <c r="B2" t="str">
        <f>'HANA Scenarios'!A2</f>
        <v>HANA1</v>
      </c>
      <c r="C2" t="str">
        <f>'FE Scenarios'!A2</f>
        <v>FE1</v>
      </c>
      <c r="D2" t="str">
        <f>'NW Scenarios'!A2</f>
        <v>NW1</v>
      </c>
      <c r="J2" t="s">
        <v>361</v>
      </c>
      <c r="K2" t="str">
        <f>t_topology[[#This Row],[ID - unique]]&amp;"-"&amp;J2</f>
        <v>Land1-S1</v>
      </c>
    </row>
    <row r="3" spans="1:11" x14ac:dyDescent="0.25">
      <c r="A3" t="s">
        <v>363</v>
      </c>
      <c r="B3" t="s">
        <v>41</v>
      </c>
      <c r="C3" t="s">
        <v>23</v>
      </c>
      <c r="J3" s="1" t="s">
        <v>49</v>
      </c>
      <c r="K3" s="1" t="str">
        <f>t_topology[[#This Row],[ID - unique]]&amp;"-"&amp;J3</f>
        <v>Land2-S2</v>
      </c>
    </row>
    <row r="4" spans="1:11" x14ac:dyDescent="0.25">
      <c r="A4" s="1" t="s">
        <v>364</v>
      </c>
      <c r="B4" t="s">
        <v>74</v>
      </c>
      <c r="C4" t="s">
        <v>41</v>
      </c>
      <c r="J4" s="1" t="s">
        <v>50</v>
      </c>
      <c r="K4" s="1" t="str">
        <f>t_topology[[#This Row],[ID - unique]]&amp;"-"&amp;J4</f>
        <v>Land3-S3</v>
      </c>
    </row>
    <row r="5" spans="1:11" x14ac:dyDescent="0.25">
      <c r="A5" s="1" t="s">
        <v>365</v>
      </c>
      <c r="B5" t="s">
        <v>23</v>
      </c>
      <c r="J5" s="1" t="s">
        <v>51</v>
      </c>
      <c r="K5" s="1" t="str">
        <f>t_topology[[#This Row],[ID - unique]]&amp;"-"&amp;J5</f>
        <v>Land4-S4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34233-F32F-4F48-8604-81B65ED0410B}">
  <sheetPr codeName="Sheet1"/>
  <dimension ref="A1"/>
  <sheetViews>
    <sheetView tabSelected="1" workbookViewId="0">
      <selection activeCell="J16" sqref="J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43DF8-93ED-43F3-9ABC-D7FF02C4C9FA}">
  <sheetPr codeName="Sheet2"/>
  <dimension ref="A1:X267"/>
  <sheetViews>
    <sheetView topLeftCell="A46" workbookViewId="0">
      <selection activeCell="A61" sqref="A61"/>
    </sheetView>
  </sheetViews>
  <sheetFormatPr defaultColWidth="8.85546875" defaultRowHeight="15" x14ac:dyDescent="0.25"/>
  <cols>
    <col min="1" max="1" width="36.140625" style="3" customWidth="1"/>
    <col min="2" max="2" width="21.140625" style="3" customWidth="1"/>
    <col min="3" max="3" width="32.42578125" style="3" customWidth="1"/>
    <col min="4" max="4" width="34.28515625" style="3" customWidth="1"/>
    <col min="5" max="5" width="19" style="3" customWidth="1"/>
    <col min="6" max="6" width="27.140625" style="3" customWidth="1"/>
    <col min="7" max="7" width="34.28515625" style="3" customWidth="1"/>
    <col min="8" max="8" width="19" style="3" customWidth="1"/>
    <col min="9" max="9" width="16" style="3" customWidth="1"/>
    <col min="10" max="11" width="22.140625" style="3" customWidth="1"/>
    <col min="12" max="12" width="16.28515625" style="3" customWidth="1"/>
    <col min="13" max="13" width="17.28515625" style="3" customWidth="1"/>
    <col min="14" max="14" width="17" style="3" customWidth="1"/>
    <col min="15" max="15" width="12" style="3" customWidth="1"/>
    <col min="16" max="16" width="22" style="3" bestFit="1" customWidth="1"/>
    <col min="17" max="17" width="18.28515625" style="3" customWidth="1"/>
    <col min="18" max="18" width="15.28515625" style="3" customWidth="1"/>
    <col min="19" max="19" width="12.85546875" style="3" customWidth="1"/>
    <col min="20" max="20" width="15.28515625" style="3" customWidth="1"/>
    <col min="21" max="21" width="15.7109375" style="3" customWidth="1"/>
    <col min="22" max="22" width="17.28515625" style="3" customWidth="1"/>
    <col min="23" max="23" width="18.42578125" style="3" customWidth="1"/>
    <col min="24" max="24" width="19" style="3" customWidth="1"/>
    <col min="25" max="27" width="8.85546875" style="3"/>
    <col min="28" max="28" width="22.28515625" style="3" bestFit="1" customWidth="1"/>
    <col min="29" max="29" width="20.140625" style="3" bestFit="1" customWidth="1"/>
    <col min="30" max="30" width="21" style="3" bestFit="1" customWidth="1"/>
    <col min="31" max="31" width="19" style="3" bestFit="1" customWidth="1"/>
    <col min="32" max="16384" width="8.85546875" style="3"/>
  </cols>
  <sheetData>
    <row r="1" spans="1:17" x14ac:dyDescent="0.25">
      <c r="A1" s="3" t="s">
        <v>90</v>
      </c>
      <c r="B1" s="3" t="s">
        <v>30</v>
      </c>
      <c r="C1" s="3" t="s">
        <v>91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K1" s="3" t="s">
        <v>97</v>
      </c>
      <c r="M1" s="3" t="s">
        <v>98</v>
      </c>
      <c r="N1" s="3">
        <f>1024^3</f>
        <v>1073741824</v>
      </c>
      <c r="P1" s="3" t="s">
        <v>99</v>
      </c>
      <c r="Q1" s="3">
        <v>23</v>
      </c>
    </row>
    <row r="2" spans="1:17" x14ac:dyDescent="0.25">
      <c r="A2" s="3" t="s">
        <v>16</v>
      </c>
      <c r="B2" s="5" t="s">
        <v>100</v>
      </c>
      <c r="C2" s="3" t="s">
        <v>101</v>
      </c>
      <c r="D2" s="3" t="s">
        <v>102</v>
      </c>
      <c r="E2" s="3" t="s">
        <v>31</v>
      </c>
      <c r="F2" s="3" t="s">
        <v>103</v>
      </c>
      <c r="G2" s="3" t="s">
        <v>104</v>
      </c>
      <c r="H2" s="5" t="s">
        <v>105</v>
      </c>
      <c r="K2" s="3" t="s">
        <v>2</v>
      </c>
      <c r="M2" s="3" t="s">
        <v>106</v>
      </c>
      <c r="N2" s="3">
        <f>N1*1024</f>
        <v>1099511627776</v>
      </c>
      <c r="P2" s="5" t="s">
        <v>107</v>
      </c>
      <c r="Q2" s="3">
        <v>11</v>
      </c>
    </row>
    <row r="3" spans="1:17" x14ac:dyDescent="0.25">
      <c r="A3" s="3" t="s">
        <v>32</v>
      </c>
      <c r="B3" s="6" t="s">
        <v>108</v>
      </c>
      <c r="C3" s="3" t="s">
        <v>101</v>
      </c>
      <c r="D3" s="3" t="s">
        <v>109</v>
      </c>
      <c r="E3" s="3" t="s">
        <v>110</v>
      </c>
      <c r="F3" s="3" t="s">
        <v>111</v>
      </c>
      <c r="G3" s="3" t="s">
        <v>112</v>
      </c>
      <c r="H3" s="5" t="s">
        <v>105</v>
      </c>
      <c r="K3" s="3" t="s">
        <v>113</v>
      </c>
    </row>
    <row r="4" spans="1:17" x14ac:dyDescent="0.25">
      <c r="A4" s="3" t="s">
        <v>28</v>
      </c>
      <c r="B4" s="5" t="s">
        <v>114</v>
      </c>
      <c r="C4" s="3" t="s">
        <v>115</v>
      </c>
      <c r="D4" s="3" t="s">
        <v>116</v>
      </c>
      <c r="F4" s="3" t="s">
        <v>117</v>
      </c>
      <c r="G4" s="3" t="s">
        <v>118</v>
      </c>
      <c r="H4" s="5" t="s">
        <v>105</v>
      </c>
    </row>
    <row r="5" spans="1:17" x14ac:dyDescent="0.25">
      <c r="A5" s="7" t="s">
        <v>119</v>
      </c>
      <c r="B5" s="6" t="s">
        <v>120</v>
      </c>
      <c r="C5" s="7" t="s">
        <v>121</v>
      </c>
      <c r="D5" s="3" t="s">
        <v>122</v>
      </c>
      <c r="F5" s="3" t="s">
        <v>123</v>
      </c>
      <c r="G5" s="7" t="s">
        <v>124</v>
      </c>
      <c r="H5" s="5" t="s">
        <v>105</v>
      </c>
    </row>
    <row r="6" spans="1:17" x14ac:dyDescent="0.25">
      <c r="D6" s="3" t="s">
        <v>125</v>
      </c>
      <c r="F6" s="3" t="s">
        <v>126</v>
      </c>
      <c r="G6" s="3" t="s">
        <v>127</v>
      </c>
      <c r="H6" s="5" t="s">
        <v>105</v>
      </c>
    </row>
    <row r="7" spans="1:17" x14ac:dyDescent="0.25">
      <c r="A7" s="3" t="s">
        <v>128</v>
      </c>
      <c r="B7" s="3" t="s">
        <v>30</v>
      </c>
      <c r="F7" s="3" t="s">
        <v>129</v>
      </c>
      <c r="G7" s="3" t="s">
        <v>130</v>
      </c>
      <c r="H7" s="5" t="s">
        <v>105</v>
      </c>
    </row>
    <row r="8" spans="1:17" x14ac:dyDescent="0.25">
      <c r="A8" s="3" t="s">
        <v>33</v>
      </c>
      <c r="B8" s="5" t="s">
        <v>131</v>
      </c>
      <c r="F8" s="3" t="s">
        <v>132</v>
      </c>
      <c r="G8" s="3" t="s">
        <v>133</v>
      </c>
      <c r="H8" s="5" t="s">
        <v>105</v>
      </c>
    </row>
    <row r="9" spans="1:17" x14ac:dyDescent="0.25">
      <c r="A9" s="3" t="s">
        <v>25</v>
      </c>
      <c r="B9" s="5" t="s">
        <v>134</v>
      </c>
      <c r="F9" s="7" t="s">
        <v>135</v>
      </c>
      <c r="G9" s="7" t="s">
        <v>136</v>
      </c>
      <c r="H9" s="5" t="s">
        <v>105</v>
      </c>
    </row>
    <row r="10" spans="1:17" x14ac:dyDescent="0.25">
      <c r="A10" s="3" t="s">
        <v>137</v>
      </c>
      <c r="B10" s="5" t="s">
        <v>138</v>
      </c>
    </row>
    <row r="13" spans="1:17" x14ac:dyDescent="0.25">
      <c r="A13" s="3" t="s">
        <v>139</v>
      </c>
      <c r="B13" s="3" t="s">
        <v>30</v>
      </c>
      <c r="C13" s="3" t="s">
        <v>34</v>
      </c>
    </row>
    <row r="14" spans="1:17" x14ac:dyDescent="0.25">
      <c r="A14" s="3" t="s">
        <v>35</v>
      </c>
      <c r="B14" s="5" t="s">
        <v>140</v>
      </c>
      <c r="C14" s="3" t="s">
        <v>141</v>
      </c>
    </row>
    <row r="15" spans="1:17" x14ac:dyDescent="0.25">
      <c r="A15" s="3" t="s">
        <v>142</v>
      </c>
      <c r="B15" s="5" t="s">
        <v>143</v>
      </c>
      <c r="C15" s="3" t="s">
        <v>141</v>
      </c>
      <c r="H15" s="27"/>
      <c r="I15" s="27"/>
    </row>
    <row r="16" spans="1:17" x14ac:dyDescent="0.25">
      <c r="A16" s="3" t="s">
        <v>144</v>
      </c>
      <c r="B16" s="5" t="s">
        <v>145</v>
      </c>
      <c r="C16" s="3" t="s">
        <v>146</v>
      </c>
    </row>
    <row r="17" spans="1:10" x14ac:dyDescent="0.25">
      <c r="A17" s="8" t="s">
        <v>147</v>
      </c>
      <c r="B17" s="8" t="s">
        <v>148</v>
      </c>
      <c r="C17" s="8" t="s">
        <v>149</v>
      </c>
    </row>
    <row r="18" spans="1:10" x14ac:dyDescent="0.25">
      <c r="A18" s="8" t="s">
        <v>150</v>
      </c>
      <c r="B18" s="8" t="s">
        <v>151</v>
      </c>
      <c r="C18" s="8" t="s">
        <v>149</v>
      </c>
    </row>
    <row r="19" spans="1:10" x14ac:dyDescent="0.25">
      <c r="B19" s="5"/>
    </row>
    <row r="20" spans="1:10" x14ac:dyDescent="0.25">
      <c r="B20" s="5"/>
    </row>
    <row r="21" spans="1:10" x14ac:dyDescent="0.25">
      <c r="A21" s="9"/>
    </row>
    <row r="23" spans="1:10" x14ac:dyDescent="0.25">
      <c r="A23" s="3" t="s">
        <v>152</v>
      </c>
    </row>
    <row r="24" spans="1:10" x14ac:dyDescent="0.25">
      <c r="A24" s="3" t="s">
        <v>153</v>
      </c>
      <c r="B24" s="3" t="s">
        <v>154</v>
      </c>
      <c r="C24" s="3" t="s">
        <v>155</v>
      </c>
      <c r="D24" s="3" t="s">
        <v>156</v>
      </c>
      <c r="E24" s="3" t="s">
        <v>157</v>
      </c>
      <c r="F24" s="3" t="s">
        <v>158</v>
      </c>
      <c r="G24" s="3" t="s">
        <v>159</v>
      </c>
      <c r="H24" s="28" t="s">
        <v>160</v>
      </c>
      <c r="I24" s="28"/>
    </row>
    <row r="25" spans="1:10" x14ac:dyDescent="0.25">
      <c r="A25" s="3" t="s">
        <v>161</v>
      </c>
      <c r="B25" s="3" t="str">
        <f>$A$30</f>
        <v>E7-880 v3</v>
      </c>
      <c r="C25" s="3">
        <v>2</v>
      </c>
      <c r="D25" s="3">
        <f>C25</f>
        <v>2</v>
      </c>
      <c r="E25" s="3">
        <f>VLOOKUP(B25, CPU_Info, 3, FALSE)</f>
        <v>18</v>
      </c>
      <c r="F25" s="3">
        <f>C25*E25</f>
        <v>36</v>
      </c>
      <c r="G25" s="3">
        <f>F25*2</f>
        <v>72</v>
      </c>
      <c r="H25" s="3">
        <f>1.5*$N$2</f>
        <v>1649267441664</v>
      </c>
      <c r="I25" s="3">
        <f>CONVERT(H25,"byte","Gibyte")</f>
        <v>1536</v>
      </c>
      <c r="J25" s="3" t="s">
        <v>98</v>
      </c>
    </row>
    <row r="26" spans="1:10" x14ac:dyDescent="0.25">
      <c r="A26" s="3" t="s">
        <v>162</v>
      </c>
      <c r="B26" s="3" t="str">
        <f>$A$30</f>
        <v>E7-880 v3</v>
      </c>
      <c r="C26" s="3">
        <v>4</v>
      </c>
      <c r="D26" s="3">
        <f>C26</f>
        <v>4</v>
      </c>
      <c r="E26" s="3">
        <f>VLOOKUP(B26, CPU_Info, 3, FALSE)</f>
        <v>18</v>
      </c>
      <c r="F26" s="3">
        <f>C26*E26</f>
        <v>72</v>
      </c>
      <c r="G26" s="3">
        <f>F26*2</f>
        <v>144</v>
      </c>
      <c r="H26" s="3">
        <f>3*$N$2</f>
        <v>3298534883328</v>
      </c>
      <c r="I26" s="3">
        <f>CONVERT(H26,"byte","Gibyte")</f>
        <v>3072</v>
      </c>
      <c r="J26" s="3" t="s">
        <v>98</v>
      </c>
    </row>
    <row r="28" spans="1:10" x14ac:dyDescent="0.25">
      <c r="A28" s="3" t="s">
        <v>163</v>
      </c>
      <c r="D28" s="28" t="s">
        <v>164</v>
      </c>
      <c r="E28" s="28"/>
      <c r="F28" s="28" t="s">
        <v>165</v>
      </c>
      <c r="G28" s="28"/>
      <c r="H28" s="28" t="s">
        <v>166</v>
      </c>
      <c r="I28" s="28"/>
      <c r="J28" s="3" t="s">
        <v>167</v>
      </c>
    </row>
    <row r="29" spans="1:10" x14ac:dyDescent="0.25">
      <c r="A29" s="3" t="s">
        <v>168</v>
      </c>
      <c r="B29" s="3" t="s">
        <v>95</v>
      </c>
      <c r="C29" s="3" t="s">
        <v>158</v>
      </c>
      <c r="D29" s="3" t="s">
        <v>169</v>
      </c>
      <c r="E29" s="3" t="s">
        <v>170</v>
      </c>
      <c r="F29" s="3" t="s">
        <v>169</v>
      </c>
      <c r="G29" s="3" t="s">
        <v>170</v>
      </c>
      <c r="H29" s="3" t="s">
        <v>169</v>
      </c>
      <c r="I29" s="3" t="s">
        <v>170</v>
      </c>
    </row>
    <row r="30" spans="1:10" x14ac:dyDescent="0.25">
      <c r="A30" s="3" t="s">
        <v>171</v>
      </c>
      <c r="B30" s="3" t="s">
        <v>172</v>
      </c>
      <c r="C30" s="3">
        <v>18</v>
      </c>
      <c r="D30" s="3">
        <f>512*$N$1</f>
        <v>549755813888</v>
      </c>
      <c r="E30" s="3">
        <f>1*$N$2</f>
        <v>1099511627776</v>
      </c>
      <c r="F30" s="3">
        <f>512*$N$1</f>
        <v>549755813888</v>
      </c>
      <c r="G30" s="3">
        <f>768*$N$1</f>
        <v>824633720832</v>
      </c>
      <c r="H30" s="3">
        <f>CONVERT(512*$N$1,"byte","Gibyte")</f>
        <v>512</v>
      </c>
      <c r="I30" s="3">
        <f>CONVERT(768*$N$1,"byte","Gibyte")</f>
        <v>768</v>
      </c>
    </row>
    <row r="31" spans="1:10" x14ac:dyDescent="0.25">
      <c r="A31" s="3" t="s">
        <v>173</v>
      </c>
      <c r="B31" s="3" t="s">
        <v>174</v>
      </c>
      <c r="C31" s="3">
        <v>18</v>
      </c>
      <c r="D31" s="3">
        <f>512*$N$1</f>
        <v>549755813888</v>
      </c>
      <c r="E31" s="3">
        <f>1*$N$2</f>
        <v>1099511627776</v>
      </c>
      <c r="F31" s="3">
        <f>512*$N$1</f>
        <v>549755813888</v>
      </c>
      <c r="G31" s="3">
        <f>1*$N$2</f>
        <v>1099511627776</v>
      </c>
      <c r="H31" s="3">
        <f>CONVERT(512*$N$1,"byte","Gibyte")</f>
        <v>512</v>
      </c>
      <c r="I31" s="3">
        <f>CONVERT(1*$N$2,"byte","Gibyte")</f>
        <v>1024</v>
      </c>
    </row>
    <row r="33" spans="1:10" x14ac:dyDescent="0.25">
      <c r="A33" s="3" t="s">
        <v>175</v>
      </c>
      <c r="B33" s="3" t="s">
        <v>176</v>
      </c>
    </row>
    <row r="34" spans="1:10" x14ac:dyDescent="0.25">
      <c r="A34" s="3" t="s">
        <v>177</v>
      </c>
      <c r="B34" s="3">
        <f>$D$30</f>
        <v>549755813888</v>
      </c>
      <c r="C34" s="3">
        <f>CONVERT(B34,"byte","Gibyte")</f>
        <v>512</v>
      </c>
      <c r="D34" s="3" t="s">
        <v>98</v>
      </c>
      <c r="E34" s="3" t="s">
        <v>178</v>
      </c>
      <c r="F34" s="28" t="s">
        <v>165</v>
      </c>
      <c r="G34" s="28"/>
      <c r="H34" s="28"/>
      <c r="I34" s="28"/>
      <c r="J34" s="28"/>
    </row>
    <row r="35" spans="1:10" x14ac:dyDescent="0.25">
      <c r="A35" s="3" t="s">
        <v>179</v>
      </c>
      <c r="B35" s="3">
        <f>$E$30</f>
        <v>1099511627776</v>
      </c>
      <c r="C35" s="3">
        <f>CONVERT(B35,"byte","Gibyte")</f>
        <v>1024</v>
      </c>
      <c r="D35" s="3" t="s">
        <v>98</v>
      </c>
      <c r="F35" s="3">
        <v>1011000000000</v>
      </c>
      <c r="G35" s="3">
        <f t="shared" ref="G35" si="0">CONVERT(F35,"byte","Gibyte")</f>
        <v>941.56712293624878</v>
      </c>
      <c r="H35" s="3" t="s">
        <v>98</v>
      </c>
      <c r="I35" s="3">
        <f>CONVERT(VSphere_VM_Max_Memory,"byte","Mibyte")</f>
        <v>964164.73388671875</v>
      </c>
      <c r="J35" s="3" t="s">
        <v>180</v>
      </c>
    </row>
    <row r="36" spans="1:10" x14ac:dyDescent="0.25">
      <c r="A36" s="3" t="s">
        <v>181</v>
      </c>
      <c r="B36" s="3">
        <f>$D$30</f>
        <v>549755813888</v>
      </c>
      <c r="C36" s="3">
        <f>CONVERT(B36,"byte","Gibyte")</f>
        <v>512</v>
      </c>
      <c r="D36" s="3" t="s">
        <v>98</v>
      </c>
    </row>
    <row r="37" spans="1:10" x14ac:dyDescent="0.25">
      <c r="A37" s="3" t="s">
        <v>182</v>
      </c>
      <c r="B37" s="3">
        <f>$E$30</f>
        <v>1099511627776</v>
      </c>
      <c r="C37" s="3">
        <f t="shared" ref="C37:C45" si="1">CONVERT(B37,"byte","Gibyte")</f>
        <v>1024</v>
      </c>
      <c r="D37" s="3" t="s">
        <v>98</v>
      </c>
    </row>
    <row r="38" spans="1:10" x14ac:dyDescent="0.25">
      <c r="A38" s="3" t="str">
        <f>Machine_Virtual_Machine &amp; " BWoH E7-880 v3"</f>
        <v>Virtual Machine BWoH E7-880 v3</v>
      </c>
      <c r="B38" s="3">
        <f>$F$30</f>
        <v>549755813888</v>
      </c>
      <c r="C38" s="3">
        <f t="shared" si="1"/>
        <v>512</v>
      </c>
      <c r="D38" s="3" t="s">
        <v>98</v>
      </c>
    </row>
    <row r="39" spans="1:10" x14ac:dyDescent="0.25">
      <c r="A39" s="3" t="str">
        <f>Machine_Virtual_Machine &amp; " SoH E7-880 v3"</f>
        <v>Virtual Machine SoH E7-880 v3</v>
      </c>
      <c r="B39" s="3">
        <f>$G$30</f>
        <v>824633720832</v>
      </c>
      <c r="C39" s="3">
        <f t="shared" si="1"/>
        <v>768</v>
      </c>
      <c r="D39" s="3" t="s">
        <v>98</v>
      </c>
    </row>
    <row r="40" spans="1:10" x14ac:dyDescent="0.25">
      <c r="A40" s="3" t="s">
        <v>183</v>
      </c>
      <c r="B40" s="3">
        <f>$D$31</f>
        <v>549755813888</v>
      </c>
      <c r="C40" s="3">
        <f t="shared" si="1"/>
        <v>512</v>
      </c>
      <c r="D40" s="3" t="s">
        <v>98</v>
      </c>
    </row>
    <row r="41" spans="1:10" x14ac:dyDescent="0.25">
      <c r="A41" s="3" t="s">
        <v>184</v>
      </c>
      <c r="B41" s="3">
        <f>$E$31</f>
        <v>1099511627776</v>
      </c>
      <c r="C41" s="3">
        <f t="shared" si="1"/>
        <v>1024</v>
      </c>
      <c r="D41" s="3" t="s">
        <v>98</v>
      </c>
    </row>
    <row r="42" spans="1:10" x14ac:dyDescent="0.25">
      <c r="A42" s="3" t="s">
        <v>185</v>
      </c>
      <c r="B42" s="3">
        <f>$D$31</f>
        <v>549755813888</v>
      </c>
      <c r="C42" s="3">
        <f t="shared" si="1"/>
        <v>512</v>
      </c>
      <c r="D42" s="3" t="s">
        <v>98</v>
      </c>
    </row>
    <row r="43" spans="1:10" x14ac:dyDescent="0.25">
      <c r="A43" s="3" t="s">
        <v>186</v>
      </c>
      <c r="B43" s="3">
        <f>$E$31</f>
        <v>1099511627776</v>
      </c>
      <c r="C43" s="3">
        <f t="shared" si="1"/>
        <v>1024</v>
      </c>
      <c r="D43" s="3" t="s">
        <v>98</v>
      </c>
    </row>
    <row r="44" spans="1:10" x14ac:dyDescent="0.25">
      <c r="A44" s="3" t="str">
        <f>A49 &amp; " BWoH E7-880 v4"</f>
        <v>Virtual Machine BWoH E7-880 v4</v>
      </c>
      <c r="B44" s="3">
        <f>$F$31</f>
        <v>549755813888</v>
      </c>
      <c r="C44" s="3">
        <f t="shared" si="1"/>
        <v>512</v>
      </c>
      <c r="D44" s="3" t="s">
        <v>98</v>
      </c>
    </row>
    <row r="45" spans="1:10" x14ac:dyDescent="0.25">
      <c r="A45" s="3" t="str">
        <f>Machine_Virtual_Machine &amp; " SoH E7-880 v4"</f>
        <v>Virtual Machine SoH E7-880 v4</v>
      </c>
      <c r="B45" s="3">
        <f>$G$31</f>
        <v>1099511627776</v>
      </c>
      <c r="C45" s="3">
        <f t="shared" si="1"/>
        <v>1024</v>
      </c>
      <c r="D45" s="3" t="s">
        <v>98</v>
      </c>
    </row>
    <row r="48" spans="1:10" x14ac:dyDescent="0.25">
      <c r="A48" s="3" t="s">
        <v>187</v>
      </c>
      <c r="B48" s="3" t="s">
        <v>188</v>
      </c>
      <c r="C48" s="3" t="s">
        <v>189</v>
      </c>
    </row>
    <row r="49" spans="1:24" x14ac:dyDescent="0.25">
      <c r="A49" s="3" t="str">
        <f>Const_VirtualMachine</f>
        <v>Virtual Machine</v>
      </c>
      <c r="B49" s="3">
        <f>MIN(VSphere_VM_Max_Memory,1*'Configuration Model'!$N$2)</f>
        <v>1011000000000</v>
      </c>
      <c r="C49" s="3">
        <v>0</v>
      </c>
    </row>
    <row r="50" spans="1:24" x14ac:dyDescent="0.25">
      <c r="A50" s="3" t="s">
        <v>190</v>
      </c>
      <c r="B50" s="3">
        <f>H25</f>
        <v>1649267441664</v>
      </c>
      <c r="C50" s="3">
        <v>1</v>
      </c>
    </row>
    <row r="51" spans="1:24" x14ac:dyDescent="0.25">
      <c r="A51" s="3" t="s">
        <v>191</v>
      </c>
      <c r="B51" s="3">
        <f>H26</f>
        <v>3298534883328</v>
      </c>
      <c r="C51" s="3">
        <v>1</v>
      </c>
    </row>
    <row r="53" spans="1:24" x14ac:dyDescent="0.25">
      <c r="C53" s="3" t="s">
        <v>192</v>
      </c>
      <c r="F53" s="3">
        <f>1*'Configuration Model'!$N$2</f>
        <v>1099511627776</v>
      </c>
      <c r="G53" s="3">
        <f>CONVERT(F53,"byte","Gibyte")</f>
        <v>1024</v>
      </c>
      <c r="H53" s="3" t="s">
        <v>98</v>
      </c>
      <c r="I53" s="3" t="s">
        <v>193</v>
      </c>
    </row>
    <row r="55" spans="1:24" x14ac:dyDescent="0.25">
      <c r="G55" s="3">
        <v>1</v>
      </c>
    </row>
    <row r="56" spans="1:24" x14ac:dyDescent="0.25">
      <c r="A56" s="3" t="s">
        <v>194</v>
      </c>
      <c r="B56" s="3">
        <v>4</v>
      </c>
      <c r="J56" s="3" t="s">
        <v>195</v>
      </c>
      <c r="L56" s="3">
        <v>2</v>
      </c>
    </row>
    <row r="57" spans="1:24" x14ac:dyDescent="0.25">
      <c r="A57" s="3" t="s">
        <v>196</v>
      </c>
      <c r="B57" s="3">
        <v>14</v>
      </c>
    </row>
    <row r="58" spans="1:24" x14ac:dyDescent="0.25">
      <c r="D58" s="27"/>
      <c r="E58" s="28" t="s">
        <v>1</v>
      </c>
      <c r="F58" s="28"/>
      <c r="G58" s="28"/>
      <c r="H58" s="28"/>
      <c r="I58" s="28"/>
      <c r="J58" s="28"/>
      <c r="K58" s="28" t="s">
        <v>197</v>
      </c>
      <c r="L58" s="28"/>
      <c r="M58" s="28"/>
      <c r="N58" s="28"/>
      <c r="O58" s="28"/>
      <c r="P58" s="28"/>
    </row>
    <row r="59" spans="1:24" x14ac:dyDescent="0.25">
      <c r="A59" s="3" t="s">
        <v>198</v>
      </c>
      <c r="B59" s="3" t="s">
        <v>24</v>
      </c>
      <c r="C59" s="3" t="s">
        <v>199</v>
      </c>
      <c r="D59" s="3" t="s">
        <v>200</v>
      </c>
      <c r="E59" s="3" t="s">
        <v>158</v>
      </c>
      <c r="F59" s="3" t="s">
        <v>201</v>
      </c>
      <c r="G59" s="3" t="s">
        <v>202</v>
      </c>
      <c r="H59" s="3" t="s">
        <v>203</v>
      </c>
      <c r="I59" s="3" t="s">
        <v>204</v>
      </c>
      <c r="J59" s="3" t="s">
        <v>205</v>
      </c>
      <c r="K59" s="3" t="s">
        <v>206</v>
      </c>
      <c r="L59" s="3" t="s">
        <v>207</v>
      </c>
      <c r="M59" s="3" t="s">
        <v>208</v>
      </c>
      <c r="N59" s="3" t="s">
        <v>209</v>
      </c>
      <c r="O59" s="3" t="s">
        <v>366</v>
      </c>
      <c r="P59" s="3" t="s">
        <v>367</v>
      </c>
      <c r="Q59" s="3" t="s">
        <v>368</v>
      </c>
      <c r="R59" s="3" t="s">
        <v>369</v>
      </c>
      <c r="S59" s="3" t="s">
        <v>370</v>
      </c>
      <c r="T59" s="3" t="s">
        <v>371</v>
      </c>
      <c r="U59" s="3" t="s">
        <v>372</v>
      </c>
      <c r="V59" s="3" t="s">
        <v>373</v>
      </c>
      <c r="W59" s="3" t="s">
        <v>374</v>
      </c>
      <c r="X59" s="3" t="s">
        <v>375</v>
      </c>
    </row>
    <row r="60" spans="1:24" x14ac:dyDescent="0.25">
      <c r="A60" s="3" t="s">
        <v>11</v>
      </c>
      <c r="B60" s="3" t="s">
        <v>31</v>
      </c>
      <c r="C60" s="3">
        <v>128</v>
      </c>
      <c r="D60" s="3">
        <f>128*'Configuration Model'!$N$1</f>
        <v>137438953472</v>
      </c>
      <c r="E60" s="3">
        <v>20</v>
      </c>
      <c r="F60" s="3" t="str">
        <f>Machine_Virtual_Machine</f>
        <v>Virtual Machine</v>
      </c>
      <c r="G60" s="3" t="str">
        <f>IF($D60&lt;=J60, "Up", "Out")</f>
        <v>Up</v>
      </c>
      <c r="H60" s="3" t="s">
        <v>162</v>
      </c>
      <c r="I60" s="3" t="str">
        <f t="shared" ref="I60:I71" si="2">VLOOKUP(H60, Server_Info,2,FALSE)</f>
        <v>E7-880 v3</v>
      </c>
      <c r="J60" s="3">
        <f t="shared" ref="J60:J71" si="3">MIN(VLOOKUP(F60 &amp; " " &amp; $B60 &amp;" " &amp; I60, Machine_Workload_CPU_Tuple, 2, FALSE)*VLOOKUP(H60,Server_Info,3,FALSE),VLOOKUP(F60, Machine_Information,2,FALSE))</f>
        <v>1011000000000</v>
      </c>
      <c r="K60" s="3">
        <f t="shared" ref="K60:K71" si="4">VLOOKUP(H60, Server_Info, 8, FALSE)</f>
        <v>3298534883328</v>
      </c>
      <c r="L60" s="3">
        <f t="shared" ref="L60:L71" si="5">IF(AND(EXACT(G60,"Up"), $D60&gt;J60),"Not Supported", $D60/J60)</f>
        <v>0.13594357415628092</v>
      </c>
      <c r="M60" s="3">
        <f t="shared" ref="M60:M71" si="6">VLOOKUP(F60, Machine_Information,3,FALSE)</f>
        <v>0</v>
      </c>
      <c r="N60" s="3">
        <f>((IF((L60-ROUNDDOWN(L60,0))=0,0,1-(L60-ROUNDDOWN(L60,0)))*J60)+(ROUNDUP(L60,0)*(K60-J60)))</f>
        <v>3161095929856</v>
      </c>
      <c r="O60" s="3">
        <v>20</v>
      </c>
      <c r="P60" s="3" t="str">
        <f>Machine_Virtual_Machine</f>
        <v>Virtual Machine</v>
      </c>
      <c r="Q60" s="3" t="s">
        <v>210</v>
      </c>
      <c r="R60" s="3" t="s">
        <v>161</v>
      </c>
      <c r="S60" s="3" t="str">
        <f t="shared" ref="S60:S71" si="7">VLOOKUP(R60, Server_Info,2,FALSE)</f>
        <v>E7-880 v3</v>
      </c>
      <c r="T60" s="3">
        <f t="shared" ref="T60:T71" si="8">MIN(VLOOKUP(P60 &amp; " " &amp; $B60 &amp;" " &amp; S60, Machine_Workload_CPU_Tuple, 2, FALSE)*VLOOKUP(R60,Server_Info,3,FALSE),VLOOKUP(P60, Machine_Information,2,FALSE))</f>
        <v>1011000000000</v>
      </c>
      <c r="U60" s="3">
        <f t="shared" ref="U60:U71" si="9">VLOOKUP(R60, Server_Info, 8, FALSE)</f>
        <v>1649267441664</v>
      </c>
      <c r="V60" s="3">
        <f t="shared" ref="V60:V71" si="10">IF(AND(EXACT(Q60,"Up"), $D60&gt;T60),"Not Supported", $D60/T60)</f>
        <v>0.13594357415628092</v>
      </c>
      <c r="W60" s="3">
        <f t="shared" ref="W60:W71" si="11">VLOOKUP(P60, Machine_Information,3,FALSE)</f>
        <v>0</v>
      </c>
      <c r="X60" s="3">
        <f t="shared" ref="X60:X71" si="12">((IF((V60-ROUNDDOWN(V60,0))=0,0,1-(V60-ROUNDDOWN(V60,0)))*T60)+(ROUNDUP(V60,0)*(U60-T60)))</f>
        <v>1511828488192</v>
      </c>
    </row>
    <row r="61" spans="1:24" x14ac:dyDescent="0.25">
      <c r="A61" s="3" t="s">
        <v>211</v>
      </c>
      <c r="B61" s="3" t="s">
        <v>31</v>
      </c>
      <c r="C61" s="3">
        <v>256</v>
      </c>
      <c r="D61" s="3">
        <f>256*'Configuration Model'!$N$1</f>
        <v>274877906944</v>
      </c>
      <c r="E61" s="3">
        <v>30</v>
      </c>
      <c r="F61" s="3" t="str">
        <f>Machine_Virtual_Machine</f>
        <v>Virtual Machine</v>
      </c>
      <c r="G61" s="3" t="str">
        <f>IF($D61&lt;=J61, "Up", "Out")</f>
        <v>Up</v>
      </c>
      <c r="H61" s="3" t="s">
        <v>162</v>
      </c>
      <c r="I61" s="3" t="str">
        <f t="shared" si="2"/>
        <v>E7-880 v3</v>
      </c>
      <c r="J61" s="3">
        <f t="shared" si="3"/>
        <v>1011000000000</v>
      </c>
      <c r="K61" s="3">
        <f t="shared" si="4"/>
        <v>3298534883328</v>
      </c>
      <c r="L61" s="3">
        <f t="shared" si="5"/>
        <v>0.27188714831256183</v>
      </c>
      <c r="M61" s="3">
        <f t="shared" si="6"/>
        <v>0</v>
      </c>
      <c r="N61" s="3">
        <f t="shared" ref="N61:N71" si="13">((IF((L61-ROUNDDOWN(L61,0))=0,0,1-(L61-ROUNDDOWN(L61,0)))*J61)+(ROUNDUP(L61,0)*(K61-J61)))</f>
        <v>3023656976384</v>
      </c>
      <c r="O61" s="3">
        <v>30</v>
      </c>
      <c r="P61" s="3" t="str">
        <f>Machine_Virtual_Machine</f>
        <v>Virtual Machine</v>
      </c>
      <c r="Q61" s="3" t="s">
        <v>210</v>
      </c>
      <c r="R61" s="3" t="s">
        <v>161</v>
      </c>
      <c r="S61" s="3" t="str">
        <f t="shared" si="7"/>
        <v>E7-880 v3</v>
      </c>
      <c r="T61" s="3">
        <f t="shared" si="8"/>
        <v>1011000000000</v>
      </c>
      <c r="U61" s="3">
        <f t="shared" si="9"/>
        <v>1649267441664</v>
      </c>
      <c r="V61" s="3">
        <f t="shared" si="10"/>
        <v>0.27188714831256183</v>
      </c>
      <c r="W61" s="3">
        <f t="shared" si="11"/>
        <v>0</v>
      </c>
      <c r="X61" s="3">
        <f t="shared" si="12"/>
        <v>1374389534720</v>
      </c>
    </row>
    <row r="62" spans="1:24" x14ac:dyDescent="0.25">
      <c r="A62" s="3" t="s">
        <v>212</v>
      </c>
      <c r="B62" s="3" t="s">
        <v>31</v>
      </c>
      <c r="C62" s="3">
        <v>512</v>
      </c>
      <c r="D62" s="3">
        <f>512*'Configuration Model'!$N$1</f>
        <v>549755813888</v>
      </c>
      <c r="E62" s="3">
        <v>40</v>
      </c>
      <c r="F62" s="3" t="str">
        <f>Machine_Virtual_Machine</f>
        <v>Virtual Machine</v>
      </c>
      <c r="G62" s="3" t="str">
        <f t="shared" ref="G62:G71" si="14">IF($D62&lt;=J62, "Up", "Out")</f>
        <v>Up</v>
      </c>
      <c r="H62" s="3" t="s">
        <v>162</v>
      </c>
      <c r="I62" s="3" t="str">
        <f t="shared" si="2"/>
        <v>E7-880 v3</v>
      </c>
      <c r="J62" s="3">
        <f t="shared" si="3"/>
        <v>1011000000000</v>
      </c>
      <c r="K62" s="3">
        <f t="shared" si="4"/>
        <v>3298534883328</v>
      </c>
      <c r="L62" s="3">
        <f t="shared" si="5"/>
        <v>0.54377429662512367</v>
      </c>
      <c r="M62" s="3">
        <f t="shared" si="6"/>
        <v>0</v>
      </c>
      <c r="N62" s="3">
        <f t="shared" si="13"/>
        <v>2748779069440</v>
      </c>
      <c r="O62" s="3">
        <v>40</v>
      </c>
      <c r="P62" s="3" t="str">
        <f>Machine_Virtual_Machine</f>
        <v>Virtual Machine</v>
      </c>
      <c r="Q62" s="3" t="s">
        <v>210</v>
      </c>
      <c r="R62" s="3" t="s">
        <v>161</v>
      </c>
      <c r="S62" s="3" t="str">
        <f t="shared" si="7"/>
        <v>E7-880 v3</v>
      </c>
      <c r="T62" s="3">
        <f t="shared" si="8"/>
        <v>1011000000000</v>
      </c>
      <c r="U62" s="3">
        <f t="shared" si="9"/>
        <v>1649267441664</v>
      </c>
      <c r="V62" s="3">
        <f t="shared" si="10"/>
        <v>0.54377429662512367</v>
      </c>
      <c r="W62" s="3">
        <f t="shared" si="11"/>
        <v>0</v>
      </c>
      <c r="X62" s="3">
        <f t="shared" si="12"/>
        <v>1099511627776</v>
      </c>
    </row>
    <row r="63" spans="1:24" x14ac:dyDescent="0.25">
      <c r="A63" s="3" t="s">
        <v>213</v>
      </c>
      <c r="B63" s="3" t="s">
        <v>31</v>
      </c>
      <c r="C63" s="3">
        <v>768</v>
      </c>
      <c r="D63" s="3">
        <f>768*'Configuration Model'!$N$1</f>
        <v>824633720832</v>
      </c>
      <c r="E63" s="3">
        <v>50</v>
      </c>
      <c r="F63" s="3" t="str">
        <f>Machine_Virtual_Machine</f>
        <v>Virtual Machine</v>
      </c>
      <c r="G63" s="3" t="str">
        <f t="shared" si="14"/>
        <v>Up</v>
      </c>
      <c r="H63" s="3" t="s">
        <v>162</v>
      </c>
      <c r="I63" s="3" t="str">
        <f t="shared" si="2"/>
        <v>E7-880 v3</v>
      </c>
      <c r="J63" s="3">
        <f t="shared" si="3"/>
        <v>1011000000000</v>
      </c>
      <c r="K63" s="3">
        <f t="shared" si="4"/>
        <v>3298534883328</v>
      </c>
      <c r="L63" s="3">
        <f t="shared" si="5"/>
        <v>0.81566144493768544</v>
      </c>
      <c r="M63" s="3">
        <f t="shared" si="6"/>
        <v>0</v>
      </c>
      <c r="N63" s="3">
        <f t="shared" si="13"/>
        <v>2473901162496</v>
      </c>
      <c r="O63" s="3">
        <v>50</v>
      </c>
      <c r="P63" s="3" t="str">
        <f>Machine_Virtual_Machine</f>
        <v>Virtual Machine</v>
      </c>
      <c r="Q63" s="3" t="s">
        <v>210</v>
      </c>
      <c r="R63" s="3" t="s">
        <v>161</v>
      </c>
      <c r="S63" s="3" t="str">
        <f t="shared" si="7"/>
        <v>E7-880 v3</v>
      </c>
      <c r="T63" s="3">
        <f t="shared" si="8"/>
        <v>1011000000000</v>
      </c>
      <c r="U63" s="3">
        <f t="shared" si="9"/>
        <v>1649267441664</v>
      </c>
      <c r="V63" s="3">
        <f t="shared" si="10"/>
        <v>0.81566144493768544</v>
      </c>
      <c r="W63" s="3">
        <f t="shared" si="11"/>
        <v>0</v>
      </c>
      <c r="X63" s="3">
        <f t="shared" si="12"/>
        <v>824633720832</v>
      </c>
    </row>
    <row r="64" spans="1:24" x14ac:dyDescent="0.25">
      <c r="A64" s="3" t="str">
        <f>C64 &amp; " GiB"</f>
        <v>941 GiB</v>
      </c>
      <c r="B64" s="3" t="s">
        <v>31</v>
      </c>
      <c r="C64" s="3">
        <f>ROUNDDOWN(CONVERT(D64,"byte","Gibyte"),0)</f>
        <v>941</v>
      </c>
      <c r="D64" s="3">
        <f>MIN(VSphere_VM_Max_Memory,1*'Configuration Model'!$N$2)</f>
        <v>1011000000000</v>
      </c>
      <c r="E64" s="3">
        <v>60</v>
      </c>
      <c r="F64" s="3" t="str">
        <f>Machine_Virtual_Machine</f>
        <v>Virtual Machine</v>
      </c>
      <c r="G64" s="3" t="str">
        <f t="shared" si="14"/>
        <v>Up</v>
      </c>
      <c r="H64" s="3" t="s">
        <v>162</v>
      </c>
      <c r="I64" s="3" t="str">
        <f t="shared" si="2"/>
        <v>E7-880 v3</v>
      </c>
      <c r="J64" s="3">
        <f t="shared" si="3"/>
        <v>1011000000000</v>
      </c>
      <c r="K64" s="3">
        <f t="shared" si="4"/>
        <v>3298534883328</v>
      </c>
      <c r="L64" s="3">
        <f t="shared" si="5"/>
        <v>1</v>
      </c>
      <c r="M64" s="3">
        <f t="shared" si="6"/>
        <v>0</v>
      </c>
      <c r="N64" s="3">
        <f t="shared" si="13"/>
        <v>2287534883328</v>
      </c>
      <c r="O64" s="3">
        <v>60</v>
      </c>
      <c r="P64" s="3" t="str">
        <f>Machine_Virtual_Machine</f>
        <v>Virtual Machine</v>
      </c>
      <c r="Q64" s="3" t="s">
        <v>210</v>
      </c>
      <c r="R64" s="3" t="s">
        <v>161</v>
      </c>
      <c r="S64" s="3" t="str">
        <f t="shared" si="7"/>
        <v>E7-880 v3</v>
      </c>
      <c r="T64" s="3">
        <f t="shared" si="8"/>
        <v>1011000000000</v>
      </c>
      <c r="U64" s="3">
        <f t="shared" si="9"/>
        <v>1649267441664</v>
      </c>
      <c r="V64" s="3">
        <f t="shared" si="10"/>
        <v>1</v>
      </c>
      <c r="W64" s="3">
        <f t="shared" si="11"/>
        <v>0</v>
      </c>
      <c r="X64" s="3">
        <f t="shared" si="12"/>
        <v>638267441664</v>
      </c>
    </row>
    <row r="65" spans="1:24" x14ac:dyDescent="0.25">
      <c r="A65" s="3" t="s">
        <v>214</v>
      </c>
      <c r="B65" s="3" t="s">
        <v>31</v>
      </c>
      <c r="C65" s="3">
        <f>2*1024</f>
        <v>2048</v>
      </c>
      <c r="D65" s="3">
        <f>2*'Configuration Model'!$N$2</f>
        <v>2199023255552</v>
      </c>
      <c r="E65" s="3">
        <v>72</v>
      </c>
      <c r="F65" s="3" t="s">
        <v>191</v>
      </c>
      <c r="G65" s="3" t="str">
        <f t="shared" si="14"/>
        <v>Up</v>
      </c>
      <c r="H65" s="3" t="s">
        <v>162</v>
      </c>
      <c r="I65" s="3" t="str">
        <f t="shared" si="2"/>
        <v>E7-880 v3</v>
      </c>
      <c r="J65" s="3">
        <f t="shared" si="3"/>
        <v>2199023255552</v>
      </c>
      <c r="K65" s="3">
        <f t="shared" si="4"/>
        <v>3298534883328</v>
      </c>
      <c r="L65" s="3">
        <f t="shared" si="5"/>
        <v>1</v>
      </c>
      <c r="M65" s="3">
        <f t="shared" si="6"/>
        <v>1</v>
      </c>
      <c r="N65" s="3">
        <f t="shared" si="13"/>
        <v>1099511627776</v>
      </c>
      <c r="O65" s="3">
        <v>72</v>
      </c>
      <c r="P65" s="3" t="s">
        <v>190</v>
      </c>
      <c r="Q65" s="3" t="s">
        <v>215</v>
      </c>
      <c r="R65" s="3" t="s">
        <v>161</v>
      </c>
      <c r="S65" s="3" t="str">
        <f t="shared" si="7"/>
        <v>E7-880 v3</v>
      </c>
      <c r="T65" s="3">
        <f t="shared" si="8"/>
        <v>1099511627776</v>
      </c>
      <c r="U65" s="3">
        <f t="shared" si="9"/>
        <v>1649267441664</v>
      </c>
      <c r="V65" s="3">
        <f t="shared" si="10"/>
        <v>2</v>
      </c>
      <c r="W65" s="3">
        <f t="shared" si="11"/>
        <v>1</v>
      </c>
      <c r="X65" s="3">
        <f t="shared" si="12"/>
        <v>1099511627776</v>
      </c>
    </row>
    <row r="66" spans="1:24" x14ac:dyDescent="0.25">
      <c r="A66" s="3" t="s">
        <v>216</v>
      </c>
      <c r="B66" s="3" t="s">
        <v>31</v>
      </c>
      <c r="C66" s="3">
        <f>3*1024</f>
        <v>3072</v>
      </c>
      <c r="D66" s="3">
        <f>3*'Configuration Model'!$N$2</f>
        <v>3298534883328</v>
      </c>
      <c r="E66" s="3">
        <f t="shared" ref="E66:E71" si="15">VLOOKUP(H66,Server_Info,7)*($D66/K66)</f>
        <v>144</v>
      </c>
      <c r="F66" s="3" t="s">
        <v>191</v>
      </c>
      <c r="G66" s="3" t="str">
        <f t="shared" si="14"/>
        <v>Out</v>
      </c>
      <c r="H66" s="3" t="s">
        <v>162</v>
      </c>
      <c r="I66" s="3" t="str">
        <f t="shared" si="2"/>
        <v>E7-880 v3</v>
      </c>
      <c r="J66" s="3">
        <f t="shared" si="3"/>
        <v>2199023255552</v>
      </c>
      <c r="K66" s="3">
        <f t="shared" si="4"/>
        <v>3298534883328</v>
      </c>
      <c r="L66" s="3">
        <f t="shared" si="5"/>
        <v>1.5</v>
      </c>
      <c r="M66" s="3">
        <f t="shared" si="6"/>
        <v>1</v>
      </c>
      <c r="N66" s="3">
        <f t="shared" si="13"/>
        <v>3298534883328</v>
      </c>
      <c r="O66" s="3">
        <f t="shared" ref="O66:O71" si="16">VLOOKUP(R66,Server_Info,7)*($D66/U66)</f>
        <v>144</v>
      </c>
      <c r="P66" s="3" t="s">
        <v>190</v>
      </c>
      <c r="Q66" s="3" t="s">
        <v>215</v>
      </c>
      <c r="R66" s="3" t="s">
        <v>161</v>
      </c>
      <c r="S66" s="3" t="str">
        <f t="shared" si="7"/>
        <v>E7-880 v3</v>
      </c>
      <c r="T66" s="3">
        <f t="shared" si="8"/>
        <v>1099511627776</v>
      </c>
      <c r="U66" s="3">
        <f t="shared" si="9"/>
        <v>1649267441664</v>
      </c>
      <c r="V66" s="3">
        <f t="shared" si="10"/>
        <v>3</v>
      </c>
      <c r="W66" s="3">
        <f t="shared" si="11"/>
        <v>1</v>
      </c>
      <c r="X66" s="3">
        <f t="shared" si="12"/>
        <v>1649267441664</v>
      </c>
    </row>
    <row r="67" spans="1:24" x14ac:dyDescent="0.25">
      <c r="A67" s="3" t="s">
        <v>217</v>
      </c>
      <c r="B67" s="3" t="s">
        <v>31</v>
      </c>
      <c r="C67" s="3">
        <f>4*1024</f>
        <v>4096</v>
      </c>
      <c r="D67" s="3">
        <f>4*'Configuration Model'!$N$2</f>
        <v>4398046511104</v>
      </c>
      <c r="E67" s="3">
        <f t="shared" si="15"/>
        <v>192</v>
      </c>
      <c r="F67" s="3" t="s">
        <v>191</v>
      </c>
      <c r="G67" s="3" t="str">
        <f t="shared" si="14"/>
        <v>Out</v>
      </c>
      <c r="H67" s="3" t="s">
        <v>162</v>
      </c>
      <c r="I67" s="3" t="str">
        <f t="shared" si="2"/>
        <v>E7-880 v3</v>
      </c>
      <c r="J67" s="3">
        <f t="shared" si="3"/>
        <v>2199023255552</v>
      </c>
      <c r="K67" s="3">
        <f t="shared" si="4"/>
        <v>3298534883328</v>
      </c>
      <c r="L67" s="3">
        <f t="shared" si="5"/>
        <v>2</v>
      </c>
      <c r="M67" s="3">
        <f t="shared" si="6"/>
        <v>1</v>
      </c>
      <c r="N67" s="3">
        <f t="shared" si="13"/>
        <v>2199023255552</v>
      </c>
      <c r="O67" s="3">
        <f t="shared" si="16"/>
        <v>192</v>
      </c>
      <c r="P67" s="3" t="s">
        <v>190</v>
      </c>
      <c r="Q67" s="3" t="s">
        <v>215</v>
      </c>
      <c r="R67" s="3" t="s">
        <v>161</v>
      </c>
      <c r="S67" s="3" t="str">
        <f t="shared" si="7"/>
        <v>E7-880 v3</v>
      </c>
      <c r="T67" s="3">
        <f t="shared" si="8"/>
        <v>1099511627776</v>
      </c>
      <c r="U67" s="3">
        <f t="shared" si="9"/>
        <v>1649267441664</v>
      </c>
      <c r="V67" s="3">
        <f t="shared" si="10"/>
        <v>4</v>
      </c>
      <c r="W67" s="3">
        <f t="shared" si="11"/>
        <v>1</v>
      </c>
      <c r="X67" s="3">
        <f t="shared" si="12"/>
        <v>2199023255552</v>
      </c>
    </row>
    <row r="68" spans="1:24" x14ac:dyDescent="0.25">
      <c r="A68" s="3" t="s">
        <v>218</v>
      </c>
      <c r="B68" s="3" t="s">
        <v>31</v>
      </c>
      <c r="C68" s="3">
        <f>5*1024</f>
        <v>5120</v>
      </c>
      <c r="D68" s="3">
        <f>5*'Configuration Model'!$N$2</f>
        <v>5497558138880</v>
      </c>
      <c r="E68" s="3">
        <f t="shared" si="15"/>
        <v>240</v>
      </c>
      <c r="F68" s="3" t="s">
        <v>191</v>
      </c>
      <c r="G68" s="3" t="str">
        <f t="shared" si="14"/>
        <v>Out</v>
      </c>
      <c r="H68" s="3" t="s">
        <v>162</v>
      </c>
      <c r="I68" s="3" t="str">
        <f t="shared" si="2"/>
        <v>E7-880 v3</v>
      </c>
      <c r="J68" s="3">
        <f t="shared" si="3"/>
        <v>2199023255552</v>
      </c>
      <c r="K68" s="3">
        <f t="shared" si="4"/>
        <v>3298534883328</v>
      </c>
      <c r="L68" s="3">
        <f t="shared" si="5"/>
        <v>2.5</v>
      </c>
      <c r="M68" s="3">
        <f t="shared" si="6"/>
        <v>1</v>
      </c>
      <c r="N68" s="3">
        <f t="shared" si="13"/>
        <v>4398046511104</v>
      </c>
      <c r="O68" s="3">
        <f t="shared" si="16"/>
        <v>240</v>
      </c>
      <c r="P68" s="3" t="s">
        <v>190</v>
      </c>
      <c r="Q68" s="3" t="s">
        <v>215</v>
      </c>
      <c r="R68" s="3" t="s">
        <v>161</v>
      </c>
      <c r="S68" s="3" t="str">
        <f t="shared" si="7"/>
        <v>E7-880 v3</v>
      </c>
      <c r="T68" s="3">
        <f t="shared" si="8"/>
        <v>1099511627776</v>
      </c>
      <c r="U68" s="3">
        <f t="shared" si="9"/>
        <v>1649267441664</v>
      </c>
      <c r="V68" s="3">
        <f t="shared" si="10"/>
        <v>5</v>
      </c>
      <c r="W68" s="3">
        <f t="shared" si="11"/>
        <v>1</v>
      </c>
      <c r="X68" s="3">
        <f t="shared" si="12"/>
        <v>2748779069440</v>
      </c>
    </row>
    <row r="69" spans="1:24" x14ac:dyDescent="0.25">
      <c r="A69" s="3" t="s">
        <v>219</v>
      </c>
      <c r="B69" s="3" t="s">
        <v>31</v>
      </c>
      <c r="C69" s="3">
        <f>6*1024</f>
        <v>6144</v>
      </c>
      <c r="D69" s="3">
        <f>6*'Configuration Model'!$N$2</f>
        <v>6597069766656</v>
      </c>
      <c r="E69" s="3">
        <f t="shared" si="15"/>
        <v>288</v>
      </c>
      <c r="F69" s="3" t="s">
        <v>191</v>
      </c>
      <c r="G69" s="3" t="str">
        <f t="shared" si="14"/>
        <v>Out</v>
      </c>
      <c r="H69" s="3" t="s">
        <v>162</v>
      </c>
      <c r="I69" s="3" t="str">
        <f t="shared" si="2"/>
        <v>E7-880 v3</v>
      </c>
      <c r="J69" s="3">
        <f t="shared" si="3"/>
        <v>2199023255552</v>
      </c>
      <c r="K69" s="3">
        <f t="shared" si="4"/>
        <v>3298534883328</v>
      </c>
      <c r="L69" s="3">
        <f t="shared" si="5"/>
        <v>3</v>
      </c>
      <c r="M69" s="3">
        <f t="shared" si="6"/>
        <v>1</v>
      </c>
      <c r="N69" s="3">
        <f t="shared" si="13"/>
        <v>3298534883328</v>
      </c>
      <c r="O69" s="3">
        <f t="shared" si="16"/>
        <v>288</v>
      </c>
      <c r="P69" s="3" t="s">
        <v>190</v>
      </c>
      <c r="Q69" s="3" t="s">
        <v>215</v>
      </c>
      <c r="R69" s="3" t="s">
        <v>161</v>
      </c>
      <c r="S69" s="3" t="str">
        <f t="shared" si="7"/>
        <v>E7-880 v3</v>
      </c>
      <c r="T69" s="3">
        <f t="shared" si="8"/>
        <v>1099511627776</v>
      </c>
      <c r="U69" s="3">
        <f t="shared" si="9"/>
        <v>1649267441664</v>
      </c>
      <c r="V69" s="3">
        <f t="shared" si="10"/>
        <v>6</v>
      </c>
      <c r="W69" s="3">
        <f t="shared" si="11"/>
        <v>1</v>
      </c>
      <c r="X69" s="3">
        <f t="shared" si="12"/>
        <v>3298534883328</v>
      </c>
    </row>
    <row r="70" spans="1:24" x14ac:dyDescent="0.25">
      <c r="A70" s="3" t="s">
        <v>220</v>
      </c>
      <c r="B70" s="3" t="s">
        <v>31</v>
      </c>
      <c r="C70" s="3">
        <f>7*1024</f>
        <v>7168</v>
      </c>
      <c r="D70" s="3">
        <f>7*'Configuration Model'!$N$2</f>
        <v>7696581394432</v>
      </c>
      <c r="E70" s="3">
        <f t="shared" si="15"/>
        <v>336</v>
      </c>
      <c r="F70" s="3" t="s">
        <v>191</v>
      </c>
      <c r="G70" s="3" t="str">
        <f t="shared" si="14"/>
        <v>Out</v>
      </c>
      <c r="H70" s="3" t="s">
        <v>162</v>
      </c>
      <c r="I70" s="3" t="str">
        <f t="shared" si="2"/>
        <v>E7-880 v3</v>
      </c>
      <c r="J70" s="3">
        <f t="shared" si="3"/>
        <v>2199023255552</v>
      </c>
      <c r="K70" s="3">
        <f t="shared" si="4"/>
        <v>3298534883328</v>
      </c>
      <c r="L70" s="3">
        <f t="shared" si="5"/>
        <v>3.5</v>
      </c>
      <c r="M70" s="3">
        <f t="shared" si="6"/>
        <v>1</v>
      </c>
      <c r="N70" s="3">
        <f t="shared" si="13"/>
        <v>5497558138880</v>
      </c>
      <c r="O70" s="3">
        <f t="shared" si="16"/>
        <v>336</v>
      </c>
      <c r="P70" s="3" t="s">
        <v>190</v>
      </c>
      <c r="Q70" s="3" t="s">
        <v>215</v>
      </c>
      <c r="R70" s="3" t="s">
        <v>161</v>
      </c>
      <c r="S70" s="3" t="str">
        <f t="shared" si="7"/>
        <v>E7-880 v3</v>
      </c>
      <c r="T70" s="3">
        <f t="shared" si="8"/>
        <v>1099511627776</v>
      </c>
      <c r="U70" s="3">
        <f t="shared" si="9"/>
        <v>1649267441664</v>
      </c>
      <c r="V70" s="3">
        <f t="shared" si="10"/>
        <v>7</v>
      </c>
      <c r="W70" s="3">
        <f t="shared" si="11"/>
        <v>1</v>
      </c>
      <c r="X70" s="3">
        <f t="shared" si="12"/>
        <v>3848290697216</v>
      </c>
    </row>
    <row r="71" spans="1:24" x14ac:dyDescent="0.25">
      <c r="A71" s="3" t="s">
        <v>221</v>
      </c>
      <c r="B71" s="3" t="s">
        <v>31</v>
      </c>
      <c r="C71" s="3">
        <f>8*1024</f>
        <v>8192</v>
      </c>
      <c r="D71" s="3">
        <f>8*'Configuration Model'!$N$2</f>
        <v>8796093022208</v>
      </c>
      <c r="E71" s="3">
        <f t="shared" si="15"/>
        <v>384</v>
      </c>
      <c r="F71" s="3" t="s">
        <v>191</v>
      </c>
      <c r="G71" s="3" t="str">
        <f t="shared" si="14"/>
        <v>Out</v>
      </c>
      <c r="H71" s="3" t="s">
        <v>162</v>
      </c>
      <c r="I71" s="3" t="str">
        <f t="shared" si="2"/>
        <v>E7-880 v3</v>
      </c>
      <c r="J71" s="3">
        <f t="shared" si="3"/>
        <v>2199023255552</v>
      </c>
      <c r="K71" s="3">
        <f t="shared" si="4"/>
        <v>3298534883328</v>
      </c>
      <c r="L71" s="3">
        <f t="shared" si="5"/>
        <v>4</v>
      </c>
      <c r="M71" s="3">
        <f t="shared" si="6"/>
        <v>1</v>
      </c>
      <c r="N71" s="3">
        <f t="shared" si="13"/>
        <v>4398046511104</v>
      </c>
      <c r="O71" s="3">
        <f t="shared" si="16"/>
        <v>384</v>
      </c>
      <c r="P71" s="3" t="s">
        <v>190</v>
      </c>
      <c r="Q71" s="3" t="s">
        <v>215</v>
      </c>
      <c r="R71" s="3" t="s">
        <v>161</v>
      </c>
      <c r="S71" s="3" t="str">
        <f t="shared" si="7"/>
        <v>E7-880 v3</v>
      </c>
      <c r="T71" s="3">
        <f t="shared" si="8"/>
        <v>1099511627776</v>
      </c>
      <c r="U71" s="3">
        <f t="shared" si="9"/>
        <v>1649267441664</v>
      </c>
      <c r="V71" s="3">
        <f t="shared" si="10"/>
        <v>8</v>
      </c>
      <c r="W71" s="3">
        <f t="shared" si="11"/>
        <v>1</v>
      </c>
      <c r="X71" s="3">
        <f t="shared" si="12"/>
        <v>4398046511104</v>
      </c>
    </row>
    <row r="75" spans="1:24" x14ac:dyDescent="0.25">
      <c r="A75" s="3" t="s">
        <v>222</v>
      </c>
      <c r="B75" s="3" t="s">
        <v>24</v>
      </c>
      <c r="C75" s="3" t="s">
        <v>223</v>
      </c>
      <c r="D75" s="3" t="s">
        <v>224</v>
      </c>
      <c r="E75" s="3" t="s">
        <v>158</v>
      </c>
      <c r="F75" s="3" t="s">
        <v>201</v>
      </c>
      <c r="G75" s="3" t="s">
        <v>202</v>
      </c>
      <c r="H75" s="3" t="s">
        <v>203</v>
      </c>
      <c r="I75" s="3" t="s">
        <v>204</v>
      </c>
      <c r="J75" s="3" t="s">
        <v>205</v>
      </c>
      <c r="K75" s="3" t="s">
        <v>206</v>
      </c>
      <c r="L75" s="3" t="s">
        <v>207</v>
      </c>
      <c r="M75" s="3" t="s">
        <v>208</v>
      </c>
      <c r="N75" s="3" t="s">
        <v>209</v>
      </c>
      <c r="O75" s="3" t="s">
        <v>158</v>
      </c>
      <c r="P75" s="3" t="s">
        <v>201</v>
      </c>
      <c r="Q75" s="3" t="s">
        <v>225</v>
      </c>
      <c r="R75" s="3" t="s">
        <v>203</v>
      </c>
      <c r="S75" s="3" t="s">
        <v>204</v>
      </c>
      <c r="T75" s="3" t="s">
        <v>205</v>
      </c>
      <c r="U75" s="3" t="s">
        <v>206</v>
      </c>
      <c r="V75" s="3" t="s">
        <v>207</v>
      </c>
      <c r="W75" s="3" t="s">
        <v>208</v>
      </c>
      <c r="X75" s="3" t="s">
        <v>209</v>
      </c>
    </row>
    <row r="76" spans="1:24" x14ac:dyDescent="0.25">
      <c r="A76" s="3" t="s">
        <v>11</v>
      </c>
      <c r="B76" s="3" t="s">
        <v>110</v>
      </c>
      <c r="C76" s="3">
        <v>128</v>
      </c>
      <c r="D76" s="3">
        <f>128*'Configuration Model'!$N$1</f>
        <v>137438953472</v>
      </c>
      <c r="E76" s="3">
        <v>20</v>
      </c>
      <c r="F76" s="3" t="str">
        <f>Machine_Virtual_Machine</f>
        <v>Virtual Machine</v>
      </c>
      <c r="G76" s="3" t="str">
        <f t="shared" ref="G76:G82" si="17">IF($D76&lt;=J76, "Up", "Out")</f>
        <v>Up</v>
      </c>
      <c r="H76" s="3" t="s">
        <v>162</v>
      </c>
      <c r="I76" s="3" t="str">
        <f t="shared" ref="I76:I82" si="18">VLOOKUP(H76, Server_Info,2,FALSE)</f>
        <v>E7-880 v3</v>
      </c>
      <c r="J76" s="3">
        <f t="shared" ref="J76:J82" si="19">MIN(VLOOKUP(F76 &amp; " " &amp; $B76 &amp;" " &amp; I76, Machine_Workload_CPU_Tuple, 2, FALSE)*VLOOKUP(H76,Server_Info,3,FALSE),VLOOKUP(F76, Machine_Information,2,FALSE))</f>
        <v>1011000000000</v>
      </c>
      <c r="K76" s="3">
        <f t="shared" ref="K76:K82" si="20">VLOOKUP(H76, Server_Info, 8, FALSE)</f>
        <v>3298534883328</v>
      </c>
      <c r="L76" s="3">
        <f t="shared" ref="L76:L82" si="21">IF(AND(EXACT(G76,"Up"), $D76&gt;J76),"Not Supported", $D76/J76)</f>
        <v>0.13594357415628092</v>
      </c>
      <c r="M76" s="3">
        <f t="shared" ref="M76:M82" si="22">VLOOKUP(F76, Machine_Information,3,FALSE)</f>
        <v>0</v>
      </c>
      <c r="N76" s="3">
        <f t="shared" ref="N76:N82" si="23">((IF((L76-ROUNDDOWN(L76,0))=0,0,1-(L76-ROUNDDOWN(L76,0)))*J76)+(ROUNDUP(L76,0)*(K76-J76)))</f>
        <v>3161095929856</v>
      </c>
      <c r="O76" s="3">
        <v>20</v>
      </c>
      <c r="P76" s="3" t="str">
        <f>Machine_Virtual_Machine</f>
        <v>Virtual Machine</v>
      </c>
      <c r="Q76" s="3" t="str">
        <f>IF($D76&lt;=T76, "Up", "Out")</f>
        <v>Up</v>
      </c>
      <c r="R76" s="3" t="s">
        <v>161</v>
      </c>
      <c r="S76" s="3" t="str">
        <f t="shared" ref="S76:S82" si="24">VLOOKUP(R76, Server_Info,2,FALSE)</f>
        <v>E7-880 v3</v>
      </c>
      <c r="T76" s="3">
        <f t="shared" ref="T76:T82" si="25">MIN(VLOOKUP(P76 &amp; " " &amp; $B76 &amp;" " &amp; S76, Machine_Workload_CPU_Tuple, 2, FALSE)*VLOOKUP(R76,Server_Info,3,FALSE),VLOOKUP(P76, Machine_Information,2,FALSE))</f>
        <v>1011000000000</v>
      </c>
      <c r="U76" s="3">
        <f t="shared" ref="U76:U82" si="26">VLOOKUP(R76, Server_Info, 8, FALSE)</f>
        <v>1649267441664</v>
      </c>
      <c r="V76" s="3">
        <f t="shared" ref="V76:V82" si="27">IF(AND(EXACT(Q76,"Up"), $D76&gt;T76),"Not Supported", $D76/T76)</f>
        <v>0.13594357415628092</v>
      </c>
      <c r="W76" s="3">
        <f t="shared" ref="W76:W82" si="28">VLOOKUP(P76, Machine_Information,3,FALSE)</f>
        <v>0</v>
      </c>
      <c r="X76" s="3">
        <f t="shared" ref="X76:X82" si="29">((IF((V76-ROUNDDOWN(V76,0))=0,0,1-(V76-ROUNDDOWN(V76,0)))*T76)+(ROUNDUP(V76,0)*(U76-T76)))</f>
        <v>1511828488192</v>
      </c>
    </row>
    <row r="77" spans="1:24" x14ac:dyDescent="0.25">
      <c r="A77" s="3" t="s">
        <v>211</v>
      </c>
      <c r="B77" s="3" t="s">
        <v>110</v>
      </c>
      <c r="C77" s="3">
        <v>256</v>
      </c>
      <c r="D77" s="3">
        <f>256*'Configuration Model'!$N$1</f>
        <v>274877906944</v>
      </c>
      <c r="E77" s="3">
        <v>30</v>
      </c>
      <c r="F77" s="3" t="str">
        <f>Machine_Virtual_Machine</f>
        <v>Virtual Machine</v>
      </c>
      <c r="G77" s="3" t="str">
        <f t="shared" si="17"/>
        <v>Up</v>
      </c>
      <c r="H77" s="3" t="s">
        <v>162</v>
      </c>
      <c r="I77" s="3" t="str">
        <f t="shared" si="18"/>
        <v>E7-880 v3</v>
      </c>
      <c r="J77" s="3">
        <f t="shared" si="19"/>
        <v>1011000000000</v>
      </c>
      <c r="K77" s="3">
        <f t="shared" si="20"/>
        <v>3298534883328</v>
      </c>
      <c r="L77" s="3">
        <f t="shared" si="21"/>
        <v>0.27188714831256183</v>
      </c>
      <c r="M77" s="3">
        <f t="shared" si="22"/>
        <v>0</v>
      </c>
      <c r="N77" s="3">
        <f t="shared" si="23"/>
        <v>3023656976384</v>
      </c>
      <c r="O77" s="3">
        <v>30</v>
      </c>
      <c r="P77" s="3" t="str">
        <f>Machine_Virtual_Machine</f>
        <v>Virtual Machine</v>
      </c>
      <c r="Q77" s="3" t="str">
        <f>IF($D77&lt;=T77, "Up", "Out")</f>
        <v>Up</v>
      </c>
      <c r="R77" s="3" t="s">
        <v>161</v>
      </c>
      <c r="S77" s="3" t="str">
        <f t="shared" si="24"/>
        <v>E7-880 v3</v>
      </c>
      <c r="T77" s="3">
        <f t="shared" si="25"/>
        <v>1011000000000</v>
      </c>
      <c r="U77" s="3">
        <f t="shared" si="26"/>
        <v>1649267441664</v>
      </c>
      <c r="V77" s="3">
        <f t="shared" si="27"/>
        <v>0.27188714831256183</v>
      </c>
      <c r="W77" s="3">
        <f t="shared" si="28"/>
        <v>0</v>
      </c>
      <c r="X77" s="3">
        <f t="shared" si="29"/>
        <v>1374389534720</v>
      </c>
    </row>
    <row r="78" spans="1:24" x14ac:dyDescent="0.25">
      <c r="A78" s="3" t="s">
        <v>212</v>
      </c>
      <c r="B78" s="3" t="s">
        <v>110</v>
      </c>
      <c r="C78" s="3">
        <v>512</v>
      </c>
      <c r="D78" s="3">
        <f>512*'Configuration Model'!$N$1</f>
        <v>549755813888</v>
      </c>
      <c r="E78" s="3">
        <v>40</v>
      </c>
      <c r="F78" s="3" t="str">
        <f>Machine_Virtual_Machine</f>
        <v>Virtual Machine</v>
      </c>
      <c r="G78" s="3" t="str">
        <f t="shared" si="17"/>
        <v>Up</v>
      </c>
      <c r="H78" s="3" t="s">
        <v>162</v>
      </c>
      <c r="I78" s="3" t="str">
        <f t="shared" si="18"/>
        <v>E7-880 v3</v>
      </c>
      <c r="J78" s="3">
        <f t="shared" si="19"/>
        <v>1011000000000</v>
      </c>
      <c r="K78" s="3">
        <f t="shared" si="20"/>
        <v>3298534883328</v>
      </c>
      <c r="L78" s="3">
        <f t="shared" si="21"/>
        <v>0.54377429662512367</v>
      </c>
      <c r="M78" s="3">
        <f t="shared" si="22"/>
        <v>0</v>
      </c>
      <c r="N78" s="3">
        <f t="shared" si="23"/>
        <v>2748779069440</v>
      </c>
      <c r="O78" s="3">
        <v>40</v>
      </c>
      <c r="P78" s="3" t="str">
        <f>Machine_Virtual_Machine</f>
        <v>Virtual Machine</v>
      </c>
      <c r="Q78" s="3" t="str">
        <f>IF($D78&lt;=T78, "Up", "Out")</f>
        <v>Up</v>
      </c>
      <c r="R78" s="3" t="s">
        <v>161</v>
      </c>
      <c r="S78" s="3" t="str">
        <f t="shared" si="24"/>
        <v>E7-880 v3</v>
      </c>
      <c r="T78" s="3">
        <f t="shared" si="25"/>
        <v>1011000000000</v>
      </c>
      <c r="U78" s="3">
        <f t="shared" si="26"/>
        <v>1649267441664</v>
      </c>
      <c r="V78" s="3">
        <f t="shared" si="27"/>
        <v>0.54377429662512367</v>
      </c>
      <c r="W78" s="3">
        <f t="shared" si="28"/>
        <v>0</v>
      </c>
      <c r="X78" s="3">
        <f t="shared" si="29"/>
        <v>1099511627776</v>
      </c>
    </row>
    <row r="79" spans="1:24" x14ac:dyDescent="0.25">
      <c r="A79" s="3" t="s">
        <v>213</v>
      </c>
      <c r="B79" s="3" t="s">
        <v>110</v>
      </c>
      <c r="C79" s="3">
        <v>768</v>
      </c>
      <c r="D79" s="3">
        <f>768*'Configuration Model'!$N$1</f>
        <v>824633720832</v>
      </c>
      <c r="E79" s="3">
        <v>50</v>
      </c>
      <c r="F79" s="3" t="str">
        <f>Machine_Virtual_Machine</f>
        <v>Virtual Machine</v>
      </c>
      <c r="G79" s="3" t="str">
        <f t="shared" si="17"/>
        <v>Up</v>
      </c>
      <c r="H79" s="3" t="s">
        <v>162</v>
      </c>
      <c r="I79" s="3" t="str">
        <f t="shared" si="18"/>
        <v>E7-880 v3</v>
      </c>
      <c r="J79" s="3">
        <f t="shared" si="19"/>
        <v>1011000000000</v>
      </c>
      <c r="K79" s="3">
        <f t="shared" si="20"/>
        <v>3298534883328</v>
      </c>
      <c r="L79" s="3">
        <f t="shared" si="21"/>
        <v>0.81566144493768544</v>
      </c>
      <c r="M79" s="3">
        <f t="shared" si="22"/>
        <v>0</v>
      </c>
      <c r="N79" s="3">
        <f t="shared" si="23"/>
        <v>2473901162496</v>
      </c>
      <c r="O79" s="3">
        <v>50</v>
      </c>
      <c r="P79" s="3" t="str">
        <f>Machine_Virtual_Machine</f>
        <v>Virtual Machine</v>
      </c>
      <c r="Q79" s="3" t="str">
        <f>IF($D79&lt;=T79, "Up", "Out")</f>
        <v>Up</v>
      </c>
      <c r="R79" s="3" t="s">
        <v>161</v>
      </c>
      <c r="S79" s="3" t="str">
        <f t="shared" si="24"/>
        <v>E7-880 v3</v>
      </c>
      <c r="T79" s="3">
        <f t="shared" si="25"/>
        <v>1011000000000</v>
      </c>
      <c r="U79" s="3">
        <f t="shared" si="26"/>
        <v>1649267441664</v>
      </c>
      <c r="V79" s="3">
        <f t="shared" si="27"/>
        <v>0.81566144493768544</v>
      </c>
      <c r="W79" s="3">
        <f t="shared" si="28"/>
        <v>0</v>
      </c>
      <c r="X79" s="3">
        <f t="shared" si="29"/>
        <v>824633720832</v>
      </c>
    </row>
    <row r="80" spans="1:24" x14ac:dyDescent="0.25">
      <c r="A80" s="3" t="str">
        <f>C80 &amp; " GiB"</f>
        <v>941 GiB</v>
      </c>
      <c r="B80" s="3" t="s">
        <v>110</v>
      </c>
      <c r="C80" s="3">
        <f>ROUNDDOWN(CONVERT(D80,"byte","Gibyte"),0)</f>
        <v>941</v>
      </c>
      <c r="D80" s="3">
        <f>MIN(VSphere_VM_Max_Memory,1*'Configuration Model'!$N$2)</f>
        <v>1011000000000</v>
      </c>
      <c r="E80" s="3">
        <v>60</v>
      </c>
      <c r="F80" s="3" t="str">
        <f>Machine_Virtual_Machine</f>
        <v>Virtual Machine</v>
      </c>
      <c r="G80" s="3" t="str">
        <f t="shared" si="17"/>
        <v>Up</v>
      </c>
      <c r="H80" s="3" t="s">
        <v>162</v>
      </c>
      <c r="I80" s="3" t="str">
        <f t="shared" si="18"/>
        <v>E7-880 v3</v>
      </c>
      <c r="J80" s="3">
        <f t="shared" si="19"/>
        <v>1011000000000</v>
      </c>
      <c r="K80" s="3">
        <f t="shared" si="20"/>
        <v>3298534883328</v>
      </c>
      <c r="L80" s="3">
        <f t="shared" si="21"/>
        <v>1</v>
      </c>
      <c r="M80" s="3">
        <f t="shared" si="22"/>
        <v>0</v>
      </c>
      <c r="N80" s="3">
        <f t="shared" si="23"/>
        <v>2287534883328</v>
      </c>
      <c r="O80" s="3">
        <v>60</v>
      </c>
      <c r="P80" s="3" t="str">
        <f>Machine_Virtual_Machine</f>
        <v>Virtual Machine</v>
      </c>
      <c r="Q80" s="3" t="str">
        <f>IF($D80&lt;=T80, "Up", "Out")</f>
        <v>Up</v>
      </c>
      <c r="R80" s="3" t="s">
        <v>161</v>
      </c>
      <c r="S80" s="3" t="str">
        <f t="shared" si="24"/>
        <v>E7-880 v3</v>
      </c>
      <c r="T80" s="3">
        <f t="shared" si="25"/>
        <v>1011000000000</v>
      </c>
      <c r="U80" s="3">
        <f t="shared" si="26"/>
        <v>1649267441664</v>
      </c>
      <c r="V80" s="3">
        <f t="shared" si="27"/>
        <v>1</v>
      </c>
      <c r="W80" s="3">
        <f t="shared" si="28"/>
        <v>0</v>
      </c>
      <c r="X80" s="3">
        <f t="shared" si="29"/>
        <v>638267441664</v>
      </c>
    </row>
    <row r="81" spans="1:24" x14ac:dyDescent="0.25">
      <c r="A81" s="3" t="s">
        <v>214</v>
      </c>
      <c r="B81" s="3" t="s">
        <v>110</v>
      </c>
      <c r="C81" s="3">
        <f>2*1024</f>
        <v>2048</v>
      </c>
      <c r="D81" s="3">
        <f>2*'Configuration Model'!$N$2</f>
        <v>2199023255552</v>
      </c>
      <c r="E81" s="3">
        <v>72</v>
      </c>
      <c r="F81" s="3" t="s">
        <v>191</v>
      </c>
      <c r="G81" s="3" t="str">
        <f t="shared" si="17"/>
        <v>Up</v>
      </c>
      <c r="H81" s="3" t="s">
        <v>162</v>
      </c>
      <c r="I81" s="3" t="str">
        <f t="shared" si="18"/>
        <v>E7-880 v3</v>
      </c>
      <c r="J81" s="3">
        <f t="shared" si="19"/>
        <v>3298534883328</v>
      </c>
      <c r="K81" s="3">
        <f t="shared" si="20"/>
        <v>3298534883328</v>
      </c>
      <c r="L81" s="3">
        <f t="shared" si="21"/>
        <v>0.66666666666666663</v>
      </c>
      <c r="M81" s="3">
        <f t="shared" si="22"/>
        <v>1</v>
      </c>
      <c r="N81" s="3">
        <f t="shared" si="23"/>
        <v>1099511627776</v>
      </c>
      <c r="O81" s="3">
        <v>72</v>
      </c>
      <c r="P81" s="3" t="s">
        <v>190</v>
      </c>
      <c r="Q81" s="3" t="s">
        <v>210</v>
      </c>
      <c r="R81" s="3" t="s">
        <v>161</v>
      </c>
      <c r="S81" s="3" t="str">
        <f t="shared" si="24"/>
        <v>E7-880 v3</v>
      </c>
      <c r="T81" s="3">
        <f t="shared" si="25"/>
        <v>1649267441664</v>
      </c>
      <c r="U81" s="3">
        <f t="shared" si="26"/>
        <v>1649267441664</v>
      </c>
      <c r="V81" s="3" t="str">
        <f t="shared" si="27"/>
        <v>Not Supported</v>
      </c>
      <c r="W81" s="3">
        <f t="shared" si="28"/>
        <v>1</v>
      </c>
      <c r="X81" s="3" t="e">
        <f t="shared" si="29"/>
        <v>#VALUE!</v>
      </c>
    </row>
    <row r="82" spans="1:24" x14ac:dyDescent="0.25">
      <c r="A82" s="3" t="s">
        <v>216</v>
      </c>
      <c r="B82" s="3" t="s">
        <v>110</v>
      </c>
      <c r="C82" s="3">
        <f>3*1024</f>
        <v>3072</v>
      </c>
      <c r="D82" s="3">
        <f>3*'Configuration Model'!$N$2</f>
        <v>3298534883328</v>
      </c>
      <c r="E82" s="3">
        <f>VLOOKUP(H82,Server_Info,7)*($D82/K82)</f>
        <v>144</v>
      </c>
      <c r="F82" s="3" t="s">
        <v>191</v>
      </c>
      <c r="G82" s="3" t="str">
        <f t="shared" si="17"/>
        <v>Up</v>
      </c>
      <c r="H82" s="3" t="s">
        <v>162</v>
      </c>
      <c r="I82" s="3" t="str">
        <f t="shared" si="18"/>
        <v>E7-880 v3</v>
      </c>
      <c r="J82" s="3">
        <f t="shared" si="19"/>
        <v>3298534883328</v>
      </c>
      <c r="K82" s="3">
        <f t="shared" si="20"/>
        <v>3298534883328</v>
      </c>
      <c r="L82" s="3">
        <f t="shared" si="21"/>
        <v>1</v>
      </c>
      <c r="M82" s="3">
        <f t="shared" si="22"/>
        <v>1</v>
      </c>
      <c r="N82" s="3">
        <f t="shared" si="23"/>
        <v>0</v>
      </c>
      <c r="O82" s="3">
        <f>VLOOKUP(R82,Server_Info,7)*($D82/U82)</f>
        <v>144</v>
      </c>
      <c r="P82" s="3" t="s">
        <v>190</v>
      </c>
      <c r="Q82" s="3" t="s">
        <v>210</v>
      </c>
      <c r="R82" s="3" t="s">
        <v>161</v>
      </c>
      <c r="S82" s="3" t="str">
        <f t="shared" si="24"/>
        <v>E7-880 v3</v>
      </c>
      <c r="T82" s="3">
        <f t="shared" si="25"/>
        <v>1649267441664</v>
      </c>
      <c r="U82" s="3">
        <f t="shared" si="26"/>
        <v>1649267441664</v>
      </c>
      <c r="V82" s="3" t="str">
        <f t="shared" si="27"/>
        <v>Not Supported</v>
      </c>
      <c r="W82" s="3">
        <f t="shared" si="28"/>
        <v>1</v>
      </c>
      <c r="X82" s="3" t="e">
        <f t="shared" si="29"/>
        <v>#VALUE!</v>
      </c>
    </row>
    <row r="83" spans="1:24" x14ac:dyDescent="0.25">
      <c r="I83" s="3" t="s">
        <v>226</v>
      </c>
    </row>
    <row r="84" spans="1:24" x14ac:dyDescent="0.25">
      <c r="A84" s="3" t="s">
        <v>227</v>
      </c>
    </row>
    <row r="85" spans="1:24" x14ac:dyDescent="0.25">
      <c r="A85" s="5" t="s">
        <v>228</v>
      </c>
      <c r="B85" s="10">
        <f>50*N1</f>
        <v>53687091200</v>
      </c>
      <c r="C85" s="3" t="s">
        <v>229</v>
      </c>
    </row>
    <row r="86" spans="1:24" x14ac:dyDescent="0.25">
      <c r="A86" s="5" t="s">
        <v>230</v>
      </c>
      <c r="B86" s="10">
        <v>1</v>
      </c>
    </row>
    <row r="87" spans="1:24" x14ac:dyDescent="0.25">
      <c r="A87" s="5" t="s">
        <v>231</v>
      </c>
      <c r="B87" s="10">
        <v>2</v>
      </c>
    </row>
    <row r="88" spans="1:24" x14ac:dyDescent="0.25">
      <c r="A88" s="5" t="s">
        <v>232</v>
      </c>
      <c r="B88" s="10">
        <v>1</v>
      </c>
    </row>
    <row r="90" spans="1:24" x14ac:dyDescent="0.25">
      <c r="A90" s="3" t="s">
        <v>233</v>
      </c>
      <c r="B90" s="10">
        <v>10</v>
      </c>
    </row>
    <row r="92" spans="1:24" x14ac:dyDescent="0.25">
      <c r="B92" s="3" t="s">
        <v>1</v>
      </c>
      <c r="C92" s="3" t="s">
        <v>197</v>
      </c>
    </row>
    <row r="93" spans="1:24" x14ac:dyDescent="0.25">
      <c r="A93" s="3" t="s">
        <v>234</v>
      </c>
      <c r="B93" s="10">
        <v>1</v>
      </c>
      <c r="C93" s="10">
        <v>4</v>
      </c>
    </row>
    <row r="96" spans="1:24" x14ac:dyDescent="0.25">
      <c r="A96" s="3" t="s">
        <v>235</v>
      </c>
      <c r="B96" s="3" t="s">
        <v>236</v>
      </c>
      <c r="C96" s="3" t="s">
        <v>5</v>
      </c>
    </row>
    <row r="97" spans="1:8" x14ac:dyDescent="0.25">
      <c r="A97" s="3" t="s">
        <v>5</v>
      </c>
    </row>
    <row r="98" spans="1:8" x14ac:dyDescent="0.25">
      <c r="A98" s="3" t="s">
        <v>237</v>
      </c>
    </row>
    <row r="100" spans="1:8" x14ac:dyDescent="0.25">
      <c r="A100" s="3" t="s">
        <v>238</v>
      </c>
      <c r="B100" s="3" t="s">
        <v>239</v>
      </c>
      <c r="C100" s="3" t="s">
        <v>239</v>
      </c>
      <c r="D100" s="3" t="s">
        <v>158</v>
      </c>
      <c r="E100" s="3" t="s">
        <v>201</v>
      </c>
      <c r="F100" s="3" t="s">
        <v>203</v>
      </c>
    </row>
    <row r="101" spans="1:8" x14ac:dyDescent="0.25">
      <c r="A101" s="3" t="s">
        <v>9</v>
      </c>
      <c r="B101" s="3">
        <v>32</v>
      </c>
      <c r="C101" s="3">
        <f>32*'Configuration Model'!$N$1</f>
        <v>34359738368</v>
      </c>
      <c r="D101" s="3">
        <v>8</v>
      </c>
      <c r="E101" s="3" t="str">
        <f t="shared" ref="E101:E107" si="30">Machine_Virtual_Machine</f>
        <v>Virtual Machine</v>
      </c>
      <c r="F101" s="3" t="s">
        <v>161</v>
      </c>
    </row>
    <row r="102" spans="1:8" x14ac:dyDescent="0.25">
      <c r="A102" s="3" t="s">
        <v>240</v>
      </c>
      <c r="B102" s="3">
        <v>64</v>
      </c>
      <c r="C102" s="3">
        <f>64*'Configuration Model'!$N$1</f>
        <v>68719476736</v>
      </c>
      <c r="D102" s="3">
        <v>16</v>
      </c>
      <c r="E102" s="3" t="str">
        <f t="shared" si="30"/>
        <v>Virtual Machine</v>
      </c>
      <c r="F102" s="3" t="s">
        <v>161</v>
      </c>
    </row>
    <row r="103" spans="1:8" x14ac:dyDescent="0.25">
      <c r="A103" s="3" t="s">
        <v>11</v>
      </c>
      <c r="B103" s="3">
        <v>128</v>
      </c>
      <c r="C103" s="3">
        <f>128*'Configuration Model'!$N$1</f>
        <v>137438953472</v>
      </c>
      <c r="D103" s="3">
        <v>20</v>
      </c>
      <c r="E103" s="3" t="str">
        <f t="shared" si="30"/>
        <v>Virtual Machine</v>
      </c>
      <c r="F103" s="3" t="s">
        <v>161</v>
      </c>
    </row>
    <row r="104" spans="1:8" x14ac:dyDescent="0.25">
      <c r="A104" s="3" t="s">
        <v>211</v>
      </c>
      <c r="B104" s="3">
        <v>256</v>
      </c>
      <c r="C104" s="3">
        <f>256*'Configuration Model'!$N$1</f>
        <v>274877906944</v>
      </c>
      <c r="D104" s="3">
        <v>20</v>
      </c>
      <c r="E104" s="3" t="str">
        <f t="shared" si="30"/>
        <v>Virtual Machine</v>
      </c>
      <c r="F104" s="3" t="s">
        <v>161</v>
      </c>
    </row>
    <row r="105" spans="1:8" x14ac:dyDescent="0.25">
      <c r="A105" s="3" t="s">
        <v>212</v>
      </c>
      <c r="B105" s="3">
        <v>512</v>
      </c>
      <c r="C105" s="3">
        <f>512*'Configuration Model'!$N$1</f>
        <v>549755813888</v>
      </c>
      <c r="D105" s="3">
        <v>20</v>
      </c>
      <c r="E105" s="3" t="str">
        <f t="shared" si="30"/>
        <v>Virtual Machine</v>
      </c>
      <c r="F105" s="3" t="s">
        <v>161</v>
      </c>
    </row>
    <row r="106" spans="1:8" x14ac:dyDescent="0.25">
      <c r="A106" s="3" t="s">
        <v>213</v>
      </c>
      <c r="B106" s="3">
        <v>768</v>
      </c>
      <c r="C106" s="3">
        <f>768*'Configuration Model'!$N$1</f>
        <v>824633720832</v>
      </c>
      <c r="D106" s="3">
        <v>20</v>
      </c>
      <c r="E106" s="3" t="str">
        <f t="shared" si="30"/>
        <v>Virtual Machine</v>
      </c>
      <c r="F106" s="3" t="s">
        <v>161</v>
      </c>
    </row>
    <row r="107" spans="1:8" x14ac:dyDescent="0.25">
      <c r="A107" s="3" t="s">
        <v>241</v>
      </c>
      <c r="B107" s="3">
        <v>1024</v>
      </c>
      <c r="C107" s="3">
        <f>1*'Configuration Model'!$N$2</f>
        <v>1099511627776</v>
      </c>
      <c r="D107" s="3">
        <v>20</v>
      </c>
      <c r="E107" s="3" t="str">
        <f t="shared" si="30"/>
        <v>Virtual Machine</v>
      </c>
      <c r="F107" s="3" t="s">
        <v>161</v>
      </c>
    </row>
    <row r="108" spans="1:8" x14ac:dyDescent="0.25">
      <c r="H108" s="3" t="s">
        <v>242</v>
      </c>
    </row>
    <row r="109" spans="1:8" x14ac:dyDescent="0.25">
      <c r="A109" s="3" t="s">
        <v>243</v>
      </c>
      <c r="B109" s="3" t="s">
        <v>239</v>
      </c>
      <c r="C109" s="3" t="s">
        <v>239</v>
      </c>
      <c r="D109" s="3" t="s">
        <v>158</v>
      </c>
      <c r="E109" s="3" t="s">
        <v>201</v>
      </c>
      <c r="F109" s="3" t="s">
        <v>203</v>
      </c>
      <c r="G109" s="3" t="s">
        <v>242</v>
      </c>
      <c r="H109" s="3">
        <v>1</v>
      </c>
    </row>
    <row r="110" spans="1:8" x14ac:dyDescent="0.25">
      <c r="A110" s="3" t="str">
        <f t="shared" ref="A110:A118" si="31">B110 &amp; " GiB " &amp; D110 &amp; " Cores"</f>
        <v>8 GiB 2 Cores</v>
      </c>
      <c r="B110" s="3">
        <v>8</v>
      </c>
      <c r="C110" s="3">
        <f>B110*'Configuration Model'!$N$1</f>
        <v>8589934592</v>
      </c>
      <c r="D110" s="3">
        <v>2</v>
      </c>
      <c r="E110" s="3" t="str">
        <f t="shared" ref="E110:E118" si="32">Machine_Virtual_Machine</f>
        <v>Virtual Machine</v>
      </c>
      <c r="F110" s="3" t="s">
        <v>161</v>
      </c>
      <c r="G110" s="3">
        <v>0</v>
      </c>
      <c r="H110" s="3">
        <v>2</v>
      </c>
    </row>
    <row r="111" spans="1:8" x14ac:dyDescent="0.25">
      <c r="A111" s="3" t="str">
        <f t="shared" si="31"/>
        <v>16 GiB 4 Cores</v>
      </c>
      <c r="B111" s="3">
        <v>16</v>
      </c>
      <c r="C111" s="3">
        <f>B111*'Configuration Model'!$N$1</f>
        <v>17179869184</v>
      </c>
      <c r="D111" s="3">
        <v>4</v>
      </c>
      <c r="E111" s="3" t="str">
        <f t="shared" si="32"/>
        <v>Virtual Machine</v>
      </c>
      <c r="F111" s="3" t="s">
        <v>161</v>
      </c>
      <c r="G111" s="3">
        <v>1</v>
      </c>
      <c r="H111" s="3">
        <v>3</v>
      </c>
    </row>
    <row r="112" spans="1:8" x14ac:dyDescent="0.25">
      <c r="A112" s="3" t="str">
        <f t="shared" si="31"/>
        <v>32 GiB 8 Cores</v>
      </c>
      <c r="B112" s="3">
        <v>32</v>
      </c>
      <c r="C112" s="3">
        <f>B112*'Configuration Model'!$N$1</f>
        <v>34359738368</v>
      </c>
      <c r="D112" s="3">
        <v>8</v>
      </c>
      <c r="E112" s="3" t="str">
        <f t="shared" si="32"/>
        <v>Virtual Machine</v>
      </c>
      <c r="F112" s="3" t="s">
        <v>161</v>
      </c>
      <c r="G112" s="3">
        <v>2</v>
      </c>
      <c r="H112" s="3">
        <v>4</v>
      </c>
    </row>
    <row r="113" spans="1:8" x14ac:dyDescent="0.25">
      <c r="A113" s="3" t="str">
        <f t="shared" si="31"/>
        <v>64 GiB 16 Cores</v>
      </c>
      <c r="B113" s="3">
        <v>64</v>
      </c>
      <c r="C113" s="3">
        <f>B113*'Configuration Model'!$N$1</f>
        <v>68719476736</v>
      </c>
      <c r="D113" s="3">
        <v>16</v>
      </c>
      <c r="E113" s="3" t="str">
        <f t="shared" si="32"/>
        <v>Virtual Machine</v>
      </c>
      <c r="F113" s="3" t="s">
        <v>161</v>
      </c>
      <c r="G113" s="3">
        <v>3</v>
      </c>
      <c r="H113" s="3">
        <v>5</v>
      </c>
    </row>
    <row r="114" spans="1:8" x14ac:dyDescent="0.25">
      <c r="A114" s="3" t="str">
        <f t="shared" si="31"/>
        <v>128 GiB 20 Cores</v>
      </c>
      <c r="B114" s="3">
        <v>128</v>
      </c>
      <c r="C114" s="3">
        <f>B114*'Configuration Model'!$N$1</f>
        <v>137438953472</v>
      </c>
      <c r="D114" s="3">
        <v>20</v>
      </c>
      <c r="E114" s="3" t="str">
        <f t="shared" si="32"/>
        <v>Virtual Machine</v>
      </c>
      <c r="F114" s="3" t="s">
        <v>161</v>
      </c>
      <c r="G114" s="3">
        <v>4</v>
      </c>
      <c r="H114" s="3">
        <v>6</v>
      </c>
    </row>
    <row r="115" spans="1:8" x14ac:dyDescent="0.25">
      <c r="A115" s="3" t="str">
        <f t="shared" si="31"/>
        <v>256 GiB 20 Cores</v>
      </c>
      <c r="B115" s="3">
        <v>256</v>
      </c>
      <c r="C115" s="3">
        <f>B115*'Configuration Model'!$N$1</f>
        <v>274877906944</v>
      </c>
      <c r="D115" s="3">
        <v>20</v>
      </c>
      <c r="E115" s="3" t="str">
        <f t="shared" si="32"/>
        <v>Virtual Machine</v>
      </c>
      <c r="F115" s="3" t="s">
        <v>161</v>
      </c>
      <c r="G115" s="3">
        <v>5</v>
      </c>
      <c r="H115" s="3">
        <v>7</v>
      </c>
    </row>
    <row r="116" spans="1:8" x14ac:dyDescent="0.25">
      <c r="A116" s="3" t="str">
        <f t="shared" si="31"/>
        <v>512 GiB 20 Cores</v>
      </c>
      <c r="B116" s="3">
        <v>512</v>
      </c>
      <c r="C116" s="3">
        <f>B116*'Configuration Model'!$N$1</f>
        <v>549755813888</v>
      </c>
      <c r="D116" s="3">
        <v>20</v>
      </c>
      <c r="E116" s="3" t="str">
        <f t="shared" si="32"/>
        <v>Virtual Machine</v>
      </c>
      <c r="F116" s="3" t="s">
        <v>161</v>
      </c>
      <c r="G116" s="3">
        <v>6</v>
      </c>
      <c r="H116" s="3">
        <v>8</v>
      </c>
    </row>
    <row r="117" spans="1:8" x14ac:dyDescent="0.25">
      <c r="A117" s="3" t="str">
        <f t="shared" si="31"/>
        <v>768 GiB 20 Cores</v>
      </c>
      <c r="B117" s="3">
        <v>768</v>
      </c>
      <c r="C117" s="3">
        <f>B117*'Configuration Model'!$N$1</f>
        <v>824633720832</v>
      </c>
      <c r="D117" s="3">
        <v>20</v>
      </c>
      <c r="E117" s="3" t="str">
        <f t="shared" si="32"/>
        <v>Virtual Machine</v>
      </c>
      <c r="F117" s="3" t="s">
        <v>161</v>
      </c>
      <c r="G117" s="3">
        <v>7</v>
      </c>
      <c r="H117" s="3">
        <v>9</v>
      </c>
    </row>
    <row r="118" spans="1:8" x14ac:dyDescent="0.25">
      <c r="A118" s="3" t="str">
        <f t="shared" si="31"/>
        <v>1024 GiB 20 Cores</v>
      </c>
      <c r="B118" s="3">
        <v>1024</v>
      </c>
      <c r="C118" s="3">
        <f>B118*'Configuration Model'!$N$1</f>
        <v>1099511627776</v>
      </c>
      <c r="D118" s="3">
        <v>20</v>
      </c>
      <c r="E118" s="3" t="str">
        <f t="shared" si="32"/>
        <v>Virtual Machine</v>
      </c>
      <c r="F118" s="3" t="s">
        <v>161</v>
      </c>
      <c r="G118" s="3">
        <v>8</v>
      </c>
      <c r="H118" s="3">
        <v>10</v>
      </c>
    </row>
    <row r="119" spans="1:8" x14ac:dyDescent="0.25">
      <c r="G119" s="3">
        <v>9</v>
      </c>
    </row>
    <row r="120" spans="1:8" x14ac:dyDescent="0.25">
      <c r="G120" s="3">
        <v>10</v>
      </c>
    </row>
    <row r="121" spans="1:8" x14ac:dyDescent="0.25">
      <c r="A121" s="3" t="s">
        <v>244</v>
      </c>
      <c r="B121" s="10">
        <v>4</v>
      </c>
      <c r="G121" s="3">
        <v>11</v>
      </c>
    </row>
    <row r="122" spans="1:8" x14ac:dyDescent="0.25">
      <c r="G122" s="3">
        <v>12</v>
      </c>
    </row>
    <row r="123" spans="1:8" x14ac:dyDescent="0.25">
      <c r="G123" s="3">
        <v>13</v>
      </c>
    </row>
    <row r="124" spans="1:8" x14ac:dyDescent="0.25">
      <c r="A124" s="3" t="s">
        <v>245</v>
      </c>
      <c r="G124" s="3">
        <v>14</v>
      </c>
    </row>
    <row r="125" spans="1:8" x14ac:dyDescent="0.25">
      <c r="A125" s="3" t="str">
        <f>Yes</f>
        <v>Yes</v>
      </c>
      <c r="B125" s="3" t="str">
        <f>A26</f>
        <v>B460</v>
      </c>
      <c r="G125" s="3">
        <v>15</v>
      </c>
    </row>
    <row r="126" spans="1:8" x14ac:dyDescent="0.25">
      <c r="A126" s="3" t="str">
        <f>No</f>
        <v>No</v>
      </c>
      <c r="B126" s="3" t="str">
        <f>A25</f>
        <v>B260</v>
      </c>
      <c r="G126" s="3">
        <v>16</v>
      </c>
    </row>
    <row r="127" spans="1:8" x14ac:dyDescent="0.25">
      <c r="G127" s="3">
        <v>17</v>
      </c>
    </row>
    <row r="128" spans="1:8" x14ac:dyDescent="0.25">
      <c r="G128" s="3">
        <v>18</v>
      </c>
    </row>
    <row r="129" spans="1:7" x14ac:dyDescent="0.25">
      <c r="A129" s="3" t="s">
        <v>246</v>
      </c>
      <c r="B129" s="10" t="s">
        <v>2</v>
      </c>
      <c r="G129" s="3">
        <v>19</v>
      </c>
    </row>
    <row r="130" spans="1:7" x14ac:dyDescent="0.25">
      <c r="G130" s="3">
        <v>20</v>
      </c>
    </row>
    <row r="131" spans="1:7" x14ac:dyDescent="0.25">
      <c r="B131" s="3" t="s">
        <v>247</v>
      </c>
      <c r="C131" s="3" t="s">
        <v>248</v>
      </c>
      <c r="D131" s="3" t="s">
        <v>249</v>
      </c>
    </row>
    <row r="132" spans="1:7" x14ac:dyDescent="0.25">
      <c r="A132" s="3" t="s">
        <v>250</v>
      </c>
      <c r="B132" s="10" t="s">
        <v>2</v>
      </c>
      <c r="C132" s="10">
        <v>3</v>
      </c>
      <c r="D132" s="10" t="s">
        <v>251</v>
      </c>
    </row>
    <row r="134" spans="1:7" x14ac:dyDescent="0.25">
      <c r="A134" s="3" t="s">
        <v>252</v>
      </c>
    </row>
    <row r="135" spans="1:7" x14ac:dyDescent="0.25">
      <c r="A135" s="3" t="s">
        <v>253</v>
      </c>
    </row>
    <row r="136" spans="1:7" x14ac:dyDescent="0.25">
      <c r="A136" s="3" t="s">
        <v>254</v>
      </c>
    </row>
    <row r="137" spans="1:7" x14ac:dyDescent="0.25">
      <c r="A137" s="3" t="s">
        <v>251</v>
      </c>
    </row>
    <row r="139" spans="1:7" x14ac:dyDescent="0.25">
      <c r="A139" s="3" t="s">
        <v>255</v>
      </c>
    </row>
    <row r="140" spans="1:7" x14ac:dyDescent="0.25">
      <c r="A140" s="3" t="s">
        <v>256</v>
      </c>
    </row>
    <row r="141" spans="1:7" x14ac:dyDescent="0.25">
      <c r="A141" s="3" t="s">
        <v>257</v>
      </c>
    </row>
    <row r="142" spans="1:7" x14ac:dyDescent="0.25">
      <c r="A142" s="3" t="s">
        <v>258</v>
      </c>
    </row>
    <row r="143" spans="1:7" x14ac:dyDescent="0.25">
      <c r="A143" s="3" t="s">
        <v>259</v>
      </c>
    </row>
    <row r="144" spans="1:7" x14ac:dyDescent="0.25">
      <c r="A144" s="3" t="s">
        <v>260</v>
      </c>
    </row>
    <row r="146" spans="1:8" x14ac:dyDescent="0.25">
      <c r="B146" s="28" t="s">
        <v>1</v>
      </c>
      <c r="C146" s="28"/>
      <c r="D146" s="28" t="s">
        <v>261</v>
      </c>
      <c r="E146" s="28"/>
      <c r="F146" s="28" t="s">
        <v>262</v>
      </c>
      <c r="G146" s="28"/>
    </row>
    <row r="147" spans="1:8" x14ac:dyDescent="0.25">
      <c r="B147" s="3" t="s">
        <v>263</v>
      </c>
      <c r="C147" s="3" t="s">
        <v>264</v>
      </c>
      <c r="D147" s="3" t="s">
        <v>263</v>
      </c>
      <c r="E147" s="3" t="s">
        <v>264</v>
      </c>
      <c r="F147" s="3" t="s">
        <v>263</v>
      </c>
      <c r="G147" s="3" t="s">
        <v>264</v>
      </c>
    </row>
    <row r="148" spans="1:8" x14ac:dyDescent="0.25">
      <c r="A148" s="3" t="s">
        <v>265</v>
      </c>
      <c r="B148" s="10" t="s">
        <v>2</v>
      </c>
      <c r="C148" s="10" t="s">
        <v>257</v>
      </c>
      <c r="D148" s="10" t="s">
        <v>113</v>
      </c>
      <c r="E148" s="10" t="s">
        <v>257</v>
      </c>
      <c r="F148" s="11" t="str">
        <f>IF($F$154&gt;0,B148,D148)</f>
        <v>Yes</v>
      </c>
      <c r="G148" s="11" t="str">
        <f>IF($F$154&gt;0&gt;C148,E148)</f>
        <v>normal</v>
      </c>
      <c r="H148" s="3" t="str">
        <f>IF(Vn_Input_NS_Deployment_Name&lt;&gt;FALSE, "Vn_Input_NS_Deployment_Name"
&amp; IF(NOT(ISBLANK(Vn_Input_VH_Deployment_Name)),",Vn_Input_VH_Deployment_Name","")
&amp; IF(Vn_Input_Media_Deployment_Name&lt;&gt;FALSE,",Vn_Input_Media_Deployment_Name",""),"")</f>
        <v>Vn_Input_NS_Deployment_Name,Vn_Input_VH_Deployment_Name,Vn_Input_Media_Deployment_Name</v>
      </c>
    </row>
    <row r="149" spans="1:8" x14ac:dyDescent="0.25">
      <c r="F149" s="3">
        <f>IF(AND(EXACT(Vn_Input_NW_Production,Yes),NOT(ISBLANK(Vn_Input_NW_Deployment_Name))),1,0)</f>
        <v>1</v>
      </c>
      <c r="G149" s="3" t="s">
        <v>266</v>
      </c>
      <c r="H149" s="3" t="str">
        <f>IF(NOT(ISBLANK(Vn_Input_VH_Deployment_Name)),"Vn_Input_VH_Deployment_Name","")
&amp; IF(NOT(ISBLANK(Vn_Input_Servers_Deployment_Name)),",Vn_Input_Servers_Deployment_Name","")
&amp; IF(NOT(ISBLANK(Vn_Input_Transport_Deployment_Name)),",Vn_Input_Transport_Deployment_Name","")
&amp; IF(NOT(ISBLANK(Vn_Input_HANA_Deployment_Name)),",Vn_Input_HANA_Deployment_Name","")
&amp; IF(NOT(ISBLANK(Vn_Input_FE_Deployment_Name)),",Vn_Input_FE_Deployment_Name","")
&amp; IF(NOT(ISBLANK(Vn_Input_NW_Deployment_Name)),",Vn_Input_NW_Deployment_Name","")
&amp; IF(NOT(ISBLANK(Vn_Input_Servers_Deployment_Name)),",Vn_Input_Servers_Deployment_Name","")</f>
        <v>Vn_Input_VH_Deployment_Name,Vn_Input_Servers_Deployment_Name,Vn_Input_Transport_Deployment_Name,Vn_Input_HANA_Deployment_Name,Vn_Input_FE_Deployment_Name,Vn_Input_NW_Deployment_Name,Vn_Input_Servers_Deployment_Name</v>
      </c>
    </row>
    <row r="150" spans="1:8" x14ac:dyDescent="0.25">
      <c r="A150" s="3" t="s">
        <v>267</v>
      </c>
      <c r="F150" s="3">
        <f>IF(AND(EXACT(Vn_Input_HANA_Production,Yes),NOT(ISBLANK(Vn_Input_HANA_Deployment_Name))),1,0)</f>
        <v>1</v>
      </c>
      <c r="G150" s="3" t="s">
        <v>268</v>
      </c>
      <c r="H150" s="7"/>
    </row>
    <row r="151" spans="1:8" x14ac:dyDescent="0.25">
      <c r="A151" s="3" t="s">
        <v>269</v>
      </c>
      <c r="F151" s="3">
        <f>IF(AND(EXACT(Vn_Input_FE_Production,Yes),NOT(ISBLANK(Vn_Input_FE_Deployment_Name))),1,0)</f>
        <v>1</v>
      </c>
      <c r="G151" s="3" t="s">
        <v>270</v>
      </c>
    </row>
    <row r="152" spans="1:8" x14ac:dyDescent="0.25">
      <c r="A152" s="3" t="s">
        <v>271</v>
      </c>
      <c r="F152" s="3">
        <f>IF(AND(EXACT(Vn_Input_Servers_Production,Yes),NOT(ISBLANK(Vn_Input_Servers_Deployment_Name))),1,0)</f>
        <v>1</v>
      </c>
      <c r="G152" s="3" t="s">
        <v>272</v>
      </c>
    </row>
    <row r="153" spans="1:8" x14ac:dyDescent="0.25">
      <c r="A153" s="3" t="s">
        <v>273</v>
      </c>
      <c r="F153" s="3">
        <f>IF(AND(EXACT(Vn_Input_VH_Production,Yes),NOT(ISBLANK(Vn_Input_VH_Deployment_Name))),1,0)</f>
        <v>1</v>
      </c>
      <c r="G153" s="3" t="s">
        <v>274</v>
      </c>
    </row>
    <row r="154" spans="1:8" x14ac:dyDescent="0.25">
      <c r="F154" s="3">
        <f>SUM(F149:F153)</f>
        <v>5</v>
      </c>
      <c r="G154" s="3" t="s">
        <v>275</v>
      </c>
    </row>
    <row r="155" spans="1:8" x14ac:dyDescent="0.25">
      <c r="A155" s="3" t="s">
        <v>276</v>
      </c>
      <c r="B155" s="10">
        <v>3</v>
      </c>
    </row>
    <row r="161" spans="1:7" x14ac:dyDescent="0.25">
      <c r="A161" s="3" t="s">
        <v>277</v>
      </c>
      <c r="B161" s="3" t="s">
        <v>278</v>
      </c>
      <c r="C161" s="3" t="s">
        <v>279</v>
      </c>
      <c r="D161" s="3" t="s">
        <v>280</v>
      </c>
    </row>
    <row r="162" spans="1:7" x14ac:dyDescent="0.25">
      <c r="A162" s="3" t="s">
        <v>281</v>
      </c>
      <c r="B162" s="10" t="s">
        <v>9</v>
      </c>
      <c r="C162" s="11" t="str">
        <f>VLOOKUP($B162,Netweaver_Server_Sizes,1, FALSE)</f>
        <v>32 GiB</v>
      </c>
      <c r="D162" s="11">
        <f>VLOOKUP($B162,Netweaver_Server_Size_Info,4, FALSE)</f>
        <v>8</v>
      </c>
    </row>
    <row r="163" spans="1:7" x14ac:dyDescent="0.25">
      <c r="A163" s="3" t="s">
        <v>282</v>
      </c>
      <c r="B163" s="10" t="s">
        <v>9</v>
      </c>
      <c r="C163" s="11" t="str">
        <f>VLOOKUP($B163,Netweaver_Server_Sizes,1, FALSE)</f>
        <v>32 GiB</v>
      </c>
      <c r="D163" s="11">
        <f>VLOOKUP($B163,Netweaver_Server_Size_Info,4, FALSE)</f>
        <v>8</v>
      </c>
    </row>
    <row r="166" spans="1:7" x14ac:dyDescent="0.25">
      <c r="A166" s="3" t="s">
        <v>283</v>
      </c>
      <c r="B166" s="10" t="s">
        <v>284</v>
      </c>
      <c r="C166" s="11">
        <f>VLOOKUP($B166,Server_Server_Size_Info,2, FALSE)</f>
        <v>8</v>
      </c>
      <c r="D166" s="3" t="s">
        <v>98</v>
      </c>
      <c r="E166" s="11">
        <f>VLOOKUP($B166,Server_Server_Size_Info,4, FALSE)</f>
        <v>2</v>
      </c>
    </row>
    <row r="168" spans="1:7" x14ac:dyDescent="0.25">
      <c r="A168" s="3" t="s">
        <v>285</v>
      </c>
      <c r="B168" s="12" t="s">
        <v>36</v>
      </c>
    </row>
    <row r="172" spans="1:7" x14ac:dyDescent="0.25">
      <c r="A172" s="13" t="s">
        <v>161</v>
      </c>
      <c r="B172" s="14" t="s">
        <v>286</v>
      </c>
      <c r="C172" s="14" t="s">
        <v>287</v>
      </c>
      <c r="D172" s="14" t="s">
        <v>288</v>
      </c>
      <c r="E172" s="14" t="s">
        <v>289</v>
      </c>
      <c r="F172" s="14" t="s">
        <v>290</v>
      </c>
      <c r="G172" s="14" t="s">
        <v>291</v>
      </c>
    </row>
    <row r="173" spans="1:7" x14ac:dyDescent="0.25">
      <c r="A173" s="3" t="str">
        <f>B173 &amp;" GiB"</f>
        <v>512 GiB</v>
      </c>
      <c r="B173" s="15">
        <v>512</v>
      </c>
      <c r="C173" s="15">
        <v>128</v>
      </c>
      <c r="D173" s="10">
        <f>SUM(B173:C173)</f>
        <v>640</v>
      </c>
      <c r="E173" s="15">
        <v>10</v>
      </c>
      <c r="F173" s="3">
        <f>INDEX(B260_Memory_Offered_Sizes,COUNTA(B260_Memory_Offered_Sizes)+ROW(B260_Memory_Offered_Sizes)-ROW(),1)</f>
        <v>1536</v>
      </c>
      <c r="G173" s="3">
        <f>INDEX(B260_Memory_Total_Sizes,COUNTA(B260_Memory_Total_Sizes)+ROW(B260_Memory_Total_Sizes)-ROW(),1)</f>
        <v>1664</v>
      </c>
    </row>
    <row r="174" spans="1:7" x14ac:dyDescent="0.25">
      <c r="A174" s="3" t="str">
        <f t="shared" ref="A174:A175" si="33">B174 &amp;" GiB"</f>
        <v>1024 GiB</v>
      </c>
      <c r="B174" s="15">
        <v>1024</v>
      </c>
      <c r="C174" s="15">
        <v>128</v>
      </c>
      <c r="D174" s="10">
        <f t="shared" ref="D174:D175" si="34">SUM(B174:C174)</f>
        <v>1152</v>
      </c>
      <c r="E174" s="15">
        <v>18</v>
      </c>
      <c r="F174" s="3">
        <f>INDEX(B260_Memory_Offered_Sizes,COUNTA(B260_Memory_Offered_Sizes)+ROW(B260_Memory_Offered_Sizes)-ROW(),1)</f>
        <v>1024</v>
      </c>
      <c r="G174" s="3">
        <f>INDEX(B260_Memory_Total_Sizes,COUNTA(B260_Memory_Total_Sizes)+ROW(B260_Memory_Total_Sizes)-ROW(),1)</f>
        <v>1152</v>
      </c>
    </row>
    <row r="175" spans="1:7" x14ac:dyDescent="0.25">
      <c r="A175" s="3" t="str">
        <f t="shared" si="33"/>
        <v>1536 GiB</v>
      </c>
      <c r="B175" s="15">
        <v>1536</v>
      </c>
      <c r="C175" s="15">
        <v>128</v>
      </c>
      <c r="D175" s="10">
        <f t="shared" si="34"/>
        <v>1664</v>
      </c>
      <c r="E175" s="15">
        <v>26</v>
      </c>
      <c r="F175" s="3">
        <f>INDEX(B260_Memory_Offered_Sizes,COUNTA(B260_Memory_Offered_Sizes)+ROW(B260_Memory_Offered_Sizes)-ROW(),1)</f>
        <v>512</v>
      </c>
      <c r="G175" s="3">
        <f>INDEX(B260_Memory_Total_Sizes,COUNTA(B260_Memory_Total_Sizes)+ROW(B260_Memory_Total_Sizes)-ROW(),1)</f>
        <v>640</v>
      </c>
    </row>
    <row r="176" spans="1:7" x14ac:dyDescent="0.25">
      <c r="B176" s="13"/>
    </row>
    <row r="177" spans="1:7" x14ac:dyDescent="0.25">
      <c r="A177" s="13" t="s">
        <v>162</v>
      </c>
      <c r="B177" s="14" t="str">
        <f t="shared" ref="B177:G177" si="35">B172</f>
        <v>Offered</v>
      </c>
      <c r="C177" s="14" t="str">
        <f t="shared" si="35"/>
        <v>Overhead</v>
      </c>
      <c r="D177" s="14" t="str">
        <f t="shared" si="35"/>
        <v>Total memory</v>
      </c>
      <c r="E177" s="14" t="str">
        <f t="shared" si="35"/>
        <v># 2x32GB DIMMs</v>
      </c>
      <c r="F177" s="14" t="str">
        <f t="shared" si="35"/>
        <v>Reverse Offered</v>
      </c>
      <c r="G177" s="14" t="str">
        <f t="shared" si="35"/>
        <v>Reverse Total</v>
      </c>
    </row>
    <row r="178" spans="1:7" x14ac:dyDescent="0.25">
      <c r="A178" s="3" t="str">
        <f>B178 &amp;" GiB"</f>
        <v>512 GiB</v>
      </c>
      <c r="B178" s="15">
        <v>512</v>
      </c>
      <c r="C178" s="15">
        <v>128</v>
      </c>
      <c r="D178" s="10">
        <f>SUM(B178:C178)</f>
        <v>640</v>
      </c>
      <c r="E178" s="15">
        <v>10</v>
      </c>
      <c r="F178" s="3">
        <f>INDEX(B460_Memory_Offered_Sizes,COUNTA(B460_Memory_Offered_Sizes)+ROW(B460_Memory_Offered_Sizes)-ROW(),1)</f>
        <v>3072</v>
      </c>
      <c r="G178" s="3">
        <f>INDEX(B460_Memory_Total_Sizes,COUNTA(B460_Memory_Total_Sizes)+ROW(B460_Memory_Total_Sizes)-ROW(),1)</f>
        <v>3328</v>
      </c>
    </row>
    <row r="179" spans="1:7" x14ac:dyDescent="0.25">
      <c r="A179" s="3" t="str">
        <f t="shared" ref="A179:A181" si="36">B179 &amp;" GiB"</f>
        <v>1024 GiB</v>
      </c>
      <c r="B179" s="15">
        <v>1024</v>
      </c>
      <c r="C179" s="15">
        <v>128</v>
      </c>
      <c r="D179" s="10">
        <f>SUM(B179:C179)</f>
        <v>1152</v>
      </c>
      <c r="E179" s="15">
        <v>18</v>
      </c>
      <c r="F179" s="3">
        <f>INDEX(B460_Memory_Offered_Sizes,COUNTA(B460_Memory_Offered_Sizes)+ROW(B460_Memory_Offered_Sizes)-ROW(),1)</f>
        <v>2048</v>
      </c>
      <c r="G179" s="3">
        <f>INDEX(B460_Memory_Total_Sizes,COUNTA(B460_Memory_Total_Sizes)+ROW(B460_Memory_Total_Sizes)-ROW(),1)</f>
        <v>2176</v>
      </c>
    </row>
    <row r="180" spans="1:7" x14ac:dyDescent="0.25">
      <c r="A180" s="3" t="str">
        <f t="shared" si="36"/>
        <v>2048 GiB</v>
      </c>
      <c r="B180" s="15">
        <v>2048</v>
      </c>
      <c r="C180" s="15">
        <v>128</v>
      </c>
      <c r="D180" s="10">
        <f>SUM(B180:C180)</f>
        <v>2176</v>
      </c>
      <c r="E180" s="15">
        <v>34</v>
      </c>
      <c r="F180" s="3">
        <f>INDEX(B460_Memory_Offered_Sizes,COUNTA(B460_Memory_Offered_Sizes)+ROW(B460_Memory_Offered_Sizes)-ROW(),1)</f>
        <v>1024</v>
      </c>
      <c r="G180" s="3">
        <f>INDEX(B460_Memory_Total_Sizes,COUNTA(B460_Memory_Total_Sizes)+ROW(B460_Memory_Total_Sizes)-ROW(),1)</f>
        <v>1152</v>
      </c>
    </row>
    <row r="181" spans="1:7" x14ac:dyDescent="0.25">
      <c r="A181" s="3" t="str">
        <f t="shared" si="36"/>
        <v>3072 GiB</v>
      </c>
      <c r="B181" s="15">
        <v>3072</v>
      </c>
      <c r="C181" s="15">
        <v>256</v>
      </c>
      <c r="D181" s="10">
        <f>SUM(B181:C181)</f>
        <v>3328</v>
      </c>
      <c r="E181" s="15">
        <v>52</v>
      </c>
      <c r="F181" s="3">
        <f>INDEX(B460_Memory_Offered_Sizes,COUNTA(B460_Memory_Offered_Sizes)+ROW(B460_Memory_Offered_Sizes)-ROW(),1)</f>
        <v>512</v>
      </c>
      <c r="G181" s="3">
        <f>INDEX(B460_Memory_Total_Sizes,COUNTA(B460_Memory_Total_Sizes)+ROW(B460_Memory_Total_Sizes)-ROW(),1)</f>
        <v>640</v>
      </c>
    </row>
    <row r="182" spans="1:7" x14ac:dyDescent="0.25">
      <c r="F182" s="16"/>
    </row>
    <row r="185" spans="1:7" x14ac:dyDescent="0.25">
      <c r="A185" s="3" t="s">
        <v>292</v>
      </c>
      <c r="B185" s="11">
        <f>ROUNDDOWN(
 CONVERT(
  VLOOKUP(Vn_Input_HANA_Memory,
   IF(EXACT([2]HANA!$B$4,'Configuration Model'!$E$2),BWoH_Server_Size_Info,SoH_Server_Size_Info),
   4,
   FALSE),
  "byte","Gibyte"),
 0)</f>
        <v>6144</v>
      </c>
    </row>
    <row r="186" spans="1:7" x14ac:dyDescent="0.25">
      <c r="B186" s="11">
        <f>IF(EXACT(Vn_Input_HANA_Production,Yes),
 IF(B185&gt;B460_Memory_Max,
  CEILING(ROUNDDOWN(B185/B460_Memory_Max, 0), B460_Memory_Max),
   INDEX(B460_Memory_Offered_Sizes_Reversed,MATCH(B185,B460_Memory_Offered_Sizes_Reversed,-1))),
 IF(B185&gt;B260_Memory_Max,
  CEILING(ROUNDDOWN(D189/B260_Memory_Max, 0), B260_Memory_Max),
   INDEX(B260_Memory_Offered_Sizes_Reversed,MATCH(B185,B260_Memory_Offered_Sizes_Reversed,-1))))</f>
        <v>3072</v>
      </c>
      <c r="C186" s="3" t="s">
        <v>293</v>
      </c>
      <c r="D186" s="11">
        <f>IF(B185&lt;B186, B186-B185, 0)</f>
        <v>0</v>
      </c>
      <c r="E186" s="3" t="s">
        <v>294</v>
      </c>
    </row>
    <row r="187" spans="1:7" x14ac:dyDescent="0.25">
      <c r="B187" s="11">
        <f>IF(EXACT(Vn_Input_HANA_Production,Yes),QUOTIENT(B185,B460_Memory_Max), QUOTIENT(B185,B260_Memory_Max))</f>
        <v>2</v>
      </c>
      <c r="C187" s="3" t="s">
        <v>295</v>
      </c>
    </row>
    <row r="188" spans="1:7" x14ac:dyDescent="0.25">
      <c r="B188" s="11">
        <f>IF(EXACT(Vn_Input_HANA_Production,Yes),
IF(MOD(B185,B460_Memory_Max)=0,0,MATCH(MOD(B185,B460_Memory_Max),B460_Memory_Offered_Sizes_Reversed,-1)),
IF(MOD(B185,B260_Memory_Max)=0,0,MATCH(MOD(B185,B260_Memory_Max),B460_Memory_Offered_Sizes_Reversed,-1)))</f>
        <v>0</v>
      </c>
      <c r="C188" s="3" t="s">
        <v>296</v>
      </c>
    </row>
    <row r="189" spans="1:7" x14ac:dyDescent="0.25">
      <c r="B189" s="11">
        <f>IF(EXACT(Vn_Input_HANA_Production,Yes),
IF(MOD(B185,B460_Memory_Max)=0,0,INDEX(B460_Memory_Offered_Sizes_Reversed,MATCH(MOD(B185,B460_Memory_Max),B460_Memory_Offered_Sizes_Reversed,-1))),
IF(MOD(B185,B260_Memory_Max)=0,0,INDEX(B260_Memory_Offered_Sizes_Reversed,MATCH(MOD(B185,B260_Memory_Max),B260_Memory_Offered_Sizes_Reversed,-1))))</f>
        <v>0</v>
      </c>
      <c r="C189" s="3" t="s">
        <v>297</v>
      </c>
    </row>
    <row r="190" spans="1:7" x14ac:dyDescent="0.25">
      <c r="B190" s="11">
        <f>IF(EXACT(Vn_Input_HANA_Production,Yes),
IF(MOD(B185,B460_Memory_Max)=0,0,INDEX(B460_Memory_Total_Sizes_Reversed,MATCH(MOD(B185,B460_Memory_Max),B460_Memory_Total_Sizes_Reversed,-1))),
IF(MOD(B185,B260_Memory_Max)=0,0,INDEX(B260_Memory_Total_Sizes_Reversed,MATCH(MOD(B185,B260_Memory_Max),B260_Memory_Total_Sizes_Reversed,-1))))</f>
        <v>0</v>
      </c>
      <c r="C190" s="3" t="s">
        <v>298</v>
      </c>
    </row>
    <row r="193" spans="1:7" x14ac:dyDescent="0.25">
      <c r="A193" s="3" t="s">
        <v>299</v>
      </c>
    </row>
    <row r="194" spans="1:7" x14ac:dyDescent="0.25">
      <c r="A194" s="2" t="s">
        <v>300</v>
      </c>
      <c r="B194" s="17" t="s">
        <v>301</v>
      </c>
      <c r="C194" s="18" t="s">
        <v>302</v>
      </c>
      <c r="E194" s="2" t="s">
        <v>303</v>
      </c>
      <c r="F194" s="19" t="s">
        <v>301</v>
      </c>
      <c r="G194" s="2" t="s">
        <v>302</v>
      </c>
    </row>
    <row r="195" spans="1:7" ht="30" x14ac:dyDescent="0.25">
      <c r="A195" s="3" t="s">
        <v>0</v>
      </c>
      <c r="B195" s="10" t="str">
        <f>IF(EXACT(Vn_Input_Media_Provision,Yes),"media", FALSE)</f>
        <v>media</v>
      </c>
      <c r="C195" s="20" t="s">
        <v>304</v>
      </c>
      <c r="E195" s="3" t="s">
        <v>305</v>
      </c>
      <c r="F195" s="11">
        <f>Vn_Input_Servers_Servers</f>
        <v>1</v>
      </c>
      <c r="G195" s="3" t="s">
        <v>306</v>
      </c>
    </row>
    <row r="196" spans="1:7" ht="30" x14ac:dyDescent="0.25">
      <c r="A196" s="3" t="s">
        <v>153</v>
      </c>
      <c r="B196" s="10" t="s">
        <v>284</v>
      </c>
      <c r="C196" s="20" t="s">
        <v>307</v>
      </c>
      <c r="E196" s="3" t="s">
        <v>308</v>
      </c>
      <c r="F196" s="11">
        <f>VLOOKUP(B196,Server_Server_Size_Info,4, FALSE)</f>
        <v>2</v>
      </c>
      <c r="G196" s="3" t="s">
        <v>309</v>
      </c>
    </row>
    <row r="197" spans="1:7" ht="30" x14ac:dyDescent="0.25">
      <c r="A197" s="3" t="s">
        <v>1</v>
      </c>
      <c r="B197" s="21" t="s">
        <v>113</v>
      </c>
      <c r="C197" s="20" t="s">
        <v>310</v>
      </c>
      <c r="E197" s="3" t="s">
        <v>311</v>
      </c>
      <c r="F197" s="11">
        <f>VLOOKUP(B196,Server_Server_Size_Info,3, FALSE) / (1024*1024*1024)</f>
        <v>8</v>
      </c>
      <c r="G197" s="3" t="s">
        <v>312</v>
      </c>
    </row>
    <row r="198" spans="1:7" x14ac:dyDescent="0.25">
      <c r="A198" s="3" t="s">
        <v>313</v>
      </c>
      <c r="B198" s="10">
        <v>1</v>
      </c>
      <c r="C198" s="20" t="s">
        <v>314</v>
      </c>
      <c r="E198" s="3" t="s">
        <v>315</v>
      </c>
      <c r="F198" s="11" t="str">
        <f>VLOOKUP(B196,Server_Server_Size_Info,6, FALSE)</f>
        <v>B260</v>
      </c>
      <c r="G198" s="3" t="s">
        <v>316</v>
      </c>
    </row>
    <row r="199" spans="1:7" x14ac:dyDescent="0.25">
      <c r="A199" s="3" t="s">
        <v>15</v>
      </c>
      <c r="B199" s="10" t="s">
        <v>16</v>
      </c>
      <c r="C199" s="20" t="s">
        <v>317</v>
      </c>
      <c r="E199" s="3" t="s">
        <v>318</v>
      </c>
      <c r="F199" s="11" t="str">
        <f>VLOOKUP(B196,Server_Server_Size_Info,5, FALSE)</f>
        <v>Virtual Machine</v>
      </c>
      <c r="G199" s="3" t="s">
        <v>319</v>
      </c>
    </row>
    <row r="200" spans="1:7" x14ac:dyDescent="0.25">
      <c r="A200" s="3" t="s">
        <v>17</v>
      </c>
      <c r="B200" s="22" t="s">
        <v>36</v>
      </c>
      <c r="C200" s="20" t="s">
        <v>320</v>
      </c>
      <c r="F200" s="11"/>
    </row>
    <row r="201" spans="1:7" x14ac:dyDescent="0.25">
      <c r="A201" s="3" t="s">
        <v>18</v>
      </c>
      <c r="B201" s="10" t="s">
        <v>38</v>
      </c>
      <c r="C201" s="20" t="s">
        <v>321</v>
      </c>
      <c r="E201" s="2" t="s">
        <v>322</v>
      </c>
      <c r="F201" s="11"/>
    </row>
    <row r="202" spans="1:7" x14ac:dyDescent="0.25">
      <c r="A202" s="3" t="s">
        <v>323</v>
      </c>
      <c r="B202" s="10">
        <f>'[2]Customer Services'!B4</f>
        <v>500</v>
      </c>
      <c r="C202" s="20" t="s">
        <v>98</v>
      </c>
      <c r="E202" s="3" t="s">
        <v>324</v>
      </c>
      <c r="F202" s="11">
        <f>Vn_Input_Servers_Disk_Space_1+Vn_Input_Servers_Disk_Space_2+Vn_Input_Servers_Disk_Space_3+Vn_Input_Servers_Disk_Space_4</f>
        <v>110</v>
      </c>
      <c r="G202" s="3" t="s">
        <v>98</v>
      </c>
    </row>
    <row r="203" spans="1:7" x14ac:dyDescent="0.25">
      <c r="A203" s="3" t="s">
        <v>325</v>
      </c>
      <c r="B203" s="10" t="s">
        <v>326</v>
      </c>
      <c r="C203" s="20" t="s">
        <v>327</v>
      </c>
      <c r="E203" s="3" t="s">
        <v>233</v>
      </c>
      <c r="F203" s="11">
        <f>Servers_Storage_Backup_Capacity_scalar*F202</f>
        <v>330</v>
      </c>
      <c r="G203" s="3" t="s">
        <v>98</v>
      </c>
    </row>
    <row r="204" spans="1:7" x14ac:dyDescent="0.25">
      <c r="A204" s="3" t="s">
        <v>328</v>
      </c>
      <c r="B204" s="10" t="s">
        <v>269</v>
      </c>
      <c r="C204" s="20" t="s">
        <v>329</v>
      </c>
    </row>
    <row r="205" spans="1:7" x14ac:dyDescent="0.25">
      <c r="A205" s="3" t="s">
        <v>330</v>
      </c>
      <c r="B205" s="10"/>
      <c r="C205" s="20" t="s">
        <v>98</v>
      </c>
    </row>
    <row r="206" spans="1:7" x14ac:dyDescent="0.25">
      <c r="A206" s="3" t="s">
        <v>331</v>
      </c>
      <c r="B206" s="10" t="s">
        <v>332</v>
      </c>
      <c r="C206" s="20" t="s">
        <v>327</v>
      </c>
      <c r="E206" s="2"/>
    </row>
    <row r="207" spans="1:7" x14ac:dyDescent="0.25">
      <c r="A207" s="3" t="s">
        <v>333</v>
      </c>
      <c r="B207" s="10" t="s">
        <v>271</v>
      </c>
      <c r="C207" s="20" t="s">
        <v>329</v>
      </c>
      <c r="E207" s="5"/>
    </row>
    <row r="208" spans="1:7" x14ac:dyDescent="0.25">
      <c r="A208" s="3" t="s">
        <v>334</v>
      </c>
      <c r="B208" s="10"/>
      <c r="C208" s="20" t="s">
        <v>98</v>
      </c>
      <c r="E208" s="5"/>
    </row>
    <row r="209" spans="1:5" x14ac:dyDescent="0.25">
      <c r="A209" s="3" t="s">
        <v>335</v>
      </c>
      <c r="B209" s="10" t="s">
        <v>336</v>
      </c>
      <c r="C209" s="20" t="s">
        <v>327</v>
      </c>
      <c r="E209" s="23"/>
    </row>
    <row r="210" spans="1:5" x14ac:dyDescent="0.25">
      <c r="A210" s="3" t="s">
        <v>337</v>
      </c>
      <c r="B210" s="10" t="s">
        <v>269</v>
      </c>
      <c r="C210" s="20" t="s">
        <v>329</v>
      </c>
    </row>
    <row r="211" spans="1:5" x14ac:dyDescent="0.25">
      <c r="A211" s="3" t="s">
        <v>338</v>
      </c>
      <c r="B211" s="10"/>
      <c r="C211" s="20" t="s">
        <v>98</v>
      </c>
    </row>
    <row r="212" spans="1:5" x14ac:dyDescent="0.25">
      <c r="A212" s="3" t="s">
        <v>339</v>
      </c>
      <c r="B212" s="10"/>
      <c r="C212" s="20" t="s">
        <v>327</v>
      </c>
      <c r="E212" s="5"/>
    </row>
    <row r="213" spans="1:5" x14ac:dyDescent="0.25">
      <c r="A213" s="3" t="s">
        <v>340</v>
      </c>
      <c r="B213" s="10" t="s">
        <v>269</v>
      </c>
      <c r="C213" s="20" t="s">
        <v>329</v>
      </c>
      <c r="E213" s="5"/>
    </row>
    <row r="216" spans="1:5" x14ac:dyDescent="0.25">
      <c r="A216" s="2" t="s">
        <v>341</v>
      </c>
      <c r="B216" s="10"/>
    </row>
    <row r="217" spans="1:5" x14ac:dyDescent="0.25">
      <c r="A217" s="3" t="s">
        <v>342</v>
      </c>
      <c r="B217" s="21" t="s">
        <v>2</v>
      </c>
      <c r="C217" s="3" t="s">
        <v>343</v>
      </c>
    </row>
    <row r="218" spans="1:5" ht="30" x14ac:dyDescent="0.25">
      <c r="A218" s="3" t="s">
        <v>0</v>
      </c>
      <c r="B218" s="24" t="s">
        <v>344</v>
      </c>
      <c r="C218" s="20" t="s">
        <v>304</v>
      </c>
    </row>
    <row r="220" spans="1:5" x14ac:dyDescent="0.25">
      <c r="A220" s="25" t="s">
        <v>345</v>
      </c>
    </row>
    <row r="221" spans="1:5" x14ac:dyDescent="0.25">
      <c r="A221" s="3" t="s">
        <v>323</v>
      </c>
      <c r="B221" s="10" t="s">
        <v>346</v>
      </c>
      <c r="C221" s="20" t="s">
        <v>98</v>
      </c>
    </row>
    <row r="222" spans="1:5" x14ac:dyDescent="0.25">
      <c r="A222" s="3" t="s">
        <v>325</v>
      </c>
      <c r="B222" s="10" t="s">
        <v>347</v>
      </c>
      <c r="C222" s="20" t="s">
        <v>327</v>
      </c>
    </row>
    <row r="223" spans="1:5" x14ac:dyDescent="0.25">
      <c r="A223" s="3" t="s">
        <v>328</v>
      </c>
      <c r="B223" s="10" t="s">
        <v>269</v>
      </c>
      <c r="C223" s="20" t="s">
        <v>329</v>
      </c>
    </row>
    <row r="226" spans="1:8" x14ac:dyDescent="0.25">
      <c r="A226" s="7" t="s">
        <v>348</v>
      </c>
      <c r="B226" s="3" t="s">
        <v>349</v>
      </c>
      <c r="C226" s="26" t="s">
        <v>350</v>
      </c>
      <c r="D226" s="7" t="s">
        <v>351</v>
      </c>
    </row>
    <row r="227" spans="1:8" x14ac:dyDescent="0.25">
      <c r="A227" s="7"/>
      <c r="F227" s="7" t="s">
        <v>352</v>
      </c>
      <c r="G227" s="3" t="s">
        <v>30</v>
      </c>
      <c r="H227" s="3" t="s">
        <v>91</v>
      </c>
    </row>
    <row r="228" spans="1:8" x14ac:dyDescent="0.25">
      <c r="A228" s="3" t="str">
        <f>"UCS: " &amp; B228 &amp; ", Chassis: " &amp; C228 &amp; ", Slot: " &amp; D228</f>
        <v>UCS: UCS1, Chassis: 1, Slot: 1</v>
      </c>
      <c r="B228" s="7" t="s">
        <v>353</v>
      </c>
      <c r="C228" s="3">
        <v>1</v>
      </c>
      <c r="D228" s="3">
        <v>1</v>
      </c>
      <c r="F228" s="7" t="s">
        <v>354</v>
      </c>
      <c r="G228" s="6" t="s">
        <v>355</v>
      </c>
      <c r="H228" s="7" t="s">
        <v>356</v>
      </c>
    </row>
    <row r="229" spans="1:8" x14ac:dyDescent="0.25">
      <c r="A229" s="3" t="str">
        <f t="shared" ref="A229:A259" si="37">"UCS: " &amp; B229 &amp; ", Chassis: " &amp; C229 &amp; ", Slot: " &amp; D229</f>
        <v>UCS: UCS1, Chassis: 1, Slot: 3</v>
      </c>
      <c r="B229" s="7" t="s">
        <v>353</v>
      </c>
      <c r="C229" s="3">
        <v>1</v>
      </c>
      <c r="D229" s="3">
        <v>3</v>
      </c>
      <c r="F229" s="7" t="s">
        <v>357</v>
      </c>
      <c r="G229" s="6" t="s">
        <v>358</v>
      </c>
      <c r="H229" s="7" t="s">
        <v>356</v>
      </c>
    </row>
    <row r="230" spans="1:8" x14ac:dyDescent="0.25">
      <c r="A230" s="3" t="str">
        <f t="shared" si="37"/>
        <v>UCS: UCS1, Chassis: 1, Slot: 5</v>
      </c>
      <c r="B230" s="7" t="s">
        <v>353</v>
      </c>
      <c r="C230" s="3">
        <v>1</v>
      </c>
      <c r="D230" s="3">
        <v>5</v>
      </c>
      <c r="F230" s="7" t="s">
        <v>359</v>
      </c>
      <c r="G230" s="6" t="s">
        <v>360</v>
      </c>
      <c r="H230" s="7" t="s">
        <v>356</v>
      </c>
    </row>
    <row r="231" spans="1:8" x14ac:dyDescent="0.25">
      <c r="A231" s="3" t="str">
        <f t="shared" si="37"/>
        <v>UCS: UCS1, Chassis: 1, Slot: 7</v>
      </c>
      <c r="B231" s="7" t="s">
        <v>353</v>
      </c>
      <c r="C231" s="3">
        <v>1</v>
      </c>
      <c r="D231" s="7">
        <v>7</v>
      </c>
      <c r="F231" s="7"/>
      <c r="G231" s="6"/>
      <c r="H231" s="7"/>
    </row>
    <row r="232" spans="1:8" x14ac:dyDescent="0.25">
      <c r="A232" s="3" t="str">
        <f t="shared" si="37"/>
        <v>UCS: UCS1, Chassis: 2, Slot: 1</v>
      </c>
      <c r="B232" s="7" t="s">
        <v>353</v>
      </c>
      <c r="C232" s="3">
        <v>2</v>
      </c>
      <c r="D232" s="3">
        <v>1</v>
      </c>
    </row>
    <row r="233" spans="1:8" x14ac:dyDescent="0.25">
      <c r="A233" s="3" t="str">
        <f t="shared" si="37"/>
        <v>UCS: UCS1, Chassis: 2, Slot: 3</v>
      </c>
      <c r="B233" s="7" t="s">
        <v>353</v>
      </c>
      <c r="C233" s="7">
        <v>2</v>
      </c>
      <c r="D233" s="7">
        <v>3</v>
      </c>
    </row>
    <row r="234" spans="1:8" x14ac:dyDescent="0.25">
      <c r="A234" s="3" t="str">
        <f t="shared" si="37"/>
        <v>UCS: UCS1, Chassis: 2, Slot: 5</v>
      </c>
      <c r="B234" s="7" t="s">
        <v>353</v>
      </c>
      <c r="C234" s="7">
        <v>2</v>
      </c>
      <c r="D234" s="7">
        <v>5</v>
      </c>
    </row>
    <row r="235" spans="1:8" x14ac:dyDescent="0.25">
      <c r="A235" s="3" t="str">
        <f t="shared" si="37"/>
        <v>UCS: UCS1, Chassis: 2, Slot: 7</v>
      </c>
      <c r="B235" s="7" t="s">
        <v>353</v>
      </c>
      <c r="C235" s="7">
        <v>2</v>
      </c>
      <c r="D235" s="7">
        <v>7</v>
      </c>
    </row>
    <row r="236" spans="1:8" x14ac:dyDescent="0.25">
      <c r="A236" s="3" t="str">
        <f t="shared" si="37"/>
        <v>UCS: UCS1, Chassis: 3, Slot: 1</v>
      </c>
      <c r="B236" s="7" t="s">
        <v>353</v>
      </c>
      <c r="C236" s="3">
        <v>3</v>
      </c>
      <c r="D236" s="3">
        <v>1</v>
      </c>
    </row>
    <row r="237" spans="1:8" x14ac:dyDescent="0.25">
      <c r="A237" s="3" t="str">
        <f t="shared" si="37"/>
        <v>UCS: UCS1, Chassis: 3, Slot: 3</v>
      </c>
      <c r="B237" s="7" t="s">
        <v>353</v>
      </c>
      <c r="C237" s="3">
        <v>3</v>
      </c>
      <c r="D237" s="7">
        <v>3</v>
      </c>
    </row>
    <row r="238" spans="1:8" x14ac:dyDescent="0.25">
      <c r="A238" s="3" t="str">
        <f t="shared" si="37"/>
        <v>UCS: UCS1, Chassis: 3, Slot: 5</v>
      </c>
      <c r="B238" s="7" t="s">
        <v>353</v>
      </c>
      <c r="C238" s="3">
        <v>3</v>
      </c>
      <c r="D238" s="7">
        <v>5</v>
      </c>
    </row>
    <row r="239" spans="1:8" x14ac:dyDescent="0.25">
      <c r="A239" s="3" t="str">
        <f t="shared" si="37"/>
        <v>UCS: UCS1, Chassis: 3, Slot: 7</v>
      </c>
      <c r="B239" s="7" t="s">
        <v>353</v>
      </c>
      <c r="C239" s="3">
        <v>3</v>
      </c>
      <c r="D239" s="7">
        <v>7</v>
      </c>
    </row>
    <row r="240" spans="1:8" x14ac:dyDescent="0.25">
      <c r="A240" s="3" t="str">
        <f t="shared" si="37"/>
        <v>UCS: UCS1, Chassis: 4, Slot: 1</v>
      </c>
      <c r="B240" s="7" t="s">
        <v>353</v>
      </c>
      <c r="C240" s="3">
        <v>4</v>
      </c>
      <c r="D240" s="3">
        <v>1</v>
      </c>
    </row>
    <row r="241" spans="1:4" x14ac:dyDescent="0.25">
      <c r="A241" s="3" t="str">
        <f t="shared" si="37"/>
        <v>UCS: UCS1, Chassis: 4, Slot: 3</v>
      </c>
      <c r="B241" s="7" t="s">
        <v>353</v>
      </c>
      <c r="C241" s="3">
        <v>4</v>
      </c>
      <c r="D241" s="7">
        <v>3</v>
      </c>
    </row>
    <row r="242" spans="1:4" x14ac:dyDescent="0.25">
      <c r="A242" s="3" t="str">
        <f t="shared" si="37"/>
        <v>UCS: UCS1, Chassis: 4, Slot: 5</v>
      </c>
      <c r="B242" s="7" t="s">
        <v>353</v>
      </c>
      <c r="C242" s="3">
        <v>4</v>
      </c>
      <c r="D242" s="7">
        <v>5</v>
      </c>
    </row>
    <row r="243" spans="1:4" x14ac:dyDescent="0.25">
      <c r="A243" s="3" t="str">
        <f t="shared" si="37"/>
        <v>UCS: UCS1, Chassis: 4, Slot: 7</v>
      </c>
      <c r="B243" s="7" t="s">
        <v>353</v>
      </c>
      <c r="C243" s="3">
        <v>4</v>
      </c>
      <c r="D243" s="7">
        <v>7</v>
      </c>
    </row>
    <row r="244" spans="1:4" x14ac:dyDescent="0.25">
      <c r="A244" s="3" t="str">
        <f t="shared" si="37"/>
        <v>UCS: UCS1, Chassis: 5, Slot: 1</v>
      </c>
      <c r="B244" s="7" t="s">
        <v>353</v>
      </c>
      <c r="C244" s="3">
        <v>5</v>
      </c>
      <c r="D244" s="3">
        <v>1</v>
      </c>
    </row>
    <row r="245" spans="1:4" x14ac:dyDescent="0.25">
      <c r="A245" s="3" t="str">
        <f t="shared" si="37"/>
        <v>UCS: UCS1, Chassis: 5, Slot: 3</v>
      </c>
      <c r="B245" s="7" t="s">
        <v>353</v>
      </c>
      <c r="C245" s="3">
        <v>5</v>
      </c>
      <c r="D245" s="7">
        <v>3</v>
      </c>
    </row>
    <row r="246" spans="1:4" x14ac:dyDescent="0.25">
      <c r="A246" s="3" t="str">
        <f t="shared" si="37"/>
        <v>UCS: UCS1, Chassis: 5, Slot: 5</v>
      </c>
      <c r="B246" s="7" t="s">
        <v>353</v>
      </c>
      <c r="C246" s="3">
        <v>5</v>
      </c>
      <c r="D246" s="7">
        <v>5</v>
      </c>
    </row>
    <row r="247" spans="1:4" x14ac:dyDescent="0.25">
      <c r="A247" s="3" t="str">
        <f t="shared" si="37"/>
        <v>UCS: UCS1, Chassis: 5, Slot: 7</v>
      </c>
      <c r="B247" s="7" t="s">
        <v>353</v>
      </c>
      <c r="C247" s="3">
        <v>5</v>
      </c>
      <c r="D247" s="7">
        <v>7</v>
      </c>
    </row>
    <row r="248" spans="1:4" x14ac:dyDescent="0.25">
      <c r="A248" s="3" t="str">
        <f t="shared" si="37"/>
        <v>UCS: UCS1, Chassis: 6, Slot: 1</v>
      </c>
      <c r="B248" s="7" t="s">
        <v>353</v>
      </c>
      <c r="C248" s="3">
        <v>6</v>
      </c>
      <c r="D248" s="3">
        <v>1</v>
      </c>
    </row>
    <row r="249" spans="1:4" x14ac:dyDescent="0.25">
      <c r="A249" s="3" t="str">
        <f t="shared" si="37"/>
        <v>UCS: UCS1, Chassis: 6, Slot: 3</v>
      </c>
      <c r="B249" s="7" t="s">
        <v>353</v>
      </c>
      <c r="C249" s="3">
        <v>6</v>
      </c>
      <c r="D249" s="7">
        <v>3</v>
      </c>
    </row>
    <row r="250" spans="1:4" x14ac:dyDescent="0.25">
      <c r="A250" s="3" t="str">
        <f t="shared" si="37"/>
        <v>UCS: UCS1, Chassis: 6, Slot: 5</v>
      </c>
      <c r="B250" s="7" t="s">
        <v>353</v>
      </c>
      <c r="C250" s="3">
        <v>6</v>
      </c>
      <c r="D250" s="7">
        <v>5</v>
      </c>
    </row>
    <row r="251" spans="1:4" x14ac:dyDescent="0.25">
      <c r="A251" s="3" t="str">
        <f t="shared" si="37"/>
        <v>UCS: UCS1, Chassis: 6, Slot: 7</v>
      </c>
      <c r="B251" s="7" t="s">
        <v>353</v>
      </c>
      <c r="C251" s="3">
        <v>6</v>
      </c>
      <c r="D251" s="7">
        <v>7</v>
      </c>
    </row>
    <row r="252" spans="1:4" x14ac:dyDescent="0.25">
      <c r="A252" s="3" t="str">
        <f t="shared" si="37"/>
        <v>UCS: UCS1, Chassis: 7, Slot: 1</v>
      </c>
      <c r="B252" s="7" t="s">
        <v>353</v>
      </c>
      <c r="C252" s="3">
        <v>7</v>
      </c>
      <c r="D252" s="3">
        <v>1</v>
      </c>
    </row>
    <row r="253" spans="1:4" x14ac:dyDescent="0.25">
      <c r="A253" s="3" t="str">
        <f t="shared" si="37"/>
        <v>UCS: UCS1, Chassis: 7, Slot: 3</v>
      </c>
      <c r="B253" s="7" t="s">
        <v>353</v>
      </c>
      <c r="C253" s="3">
        <v>7</v>
      </c>
      <c r="D253" s="7">
        <v>3</v>
      </c>
    </row>
    <row r="254" spans="1:4" x14ac:dyDescent="0.25">
      <c r="A254" s="3" t="str">
        <f t="shared" si="37"/>
        <v>UCS: UCS1, Chassis: 7, Slot: 5</v>
      </c>
      <c r="B254" s="7" t="s">
        <v>353</v>
      </c>
      <c r="C254" s="3">
        <v>7</v>
      </c>
      <c r="D254" s="7">
        <v>5</v>
      </c>
    </row>
    <row r="255" spans="1:4" x14ac:dyDescent="0.25">
      <c r="A255" s="3" t="str">
        <f t="shared" si="37"/>
        <v>UCS: UCS1, Chassis: 7, Slot: 7</v>
      </c>
      <c r="B255" s="7" t="s">
        <v>353</v>
      </c>
      <c r="C255" s="3">
        <v>7</v>
      </c>
      <c r="D255" s="7">
        <v>7</v>
      </c>
    </row>
    <row r="256" spans="1:4" x14ac:dyDescent="0.25">
      <c r="A256" s="3" t="str">
        <f t="shared" si="37"/>
        <v>UCS: UCS1, Chassis: 8, Slot: 1</v>
      </c>
      <c r="B256" s="7" t="s">
        <v>353</v>
      </c>
      <c r="C256" s="3">
        <v>8</v>
      </c>
      <c r="D256" s="3">
        <v>1</v>
      </c>
    </row>
    <row r="257" spans="1:4" x14ac:dyDescent="0.25">
      <c r="A257" s="3" t="str">
        <f t="shared" si="37"/>
        <v>UCS: UCS1, Chassis: 8, Slot: 3</v>
      </c>
      <c r="B257" s="7" t="s">
        <v>353</v>
      </c>
      <c r="C257" s="3">
        <v>8</v>
      </c>
      <c r="D257" s="7">
        <v>3</v>
      </c>
    </row>
    <row r="258" spans="1:4" x14ac:dyDescent="0.25">
      <c r="A258" s="3" t="str">
        <f t="shared" si="37"/>
        <v>UCS: UCS1, Chassis: 8, Slot: 5</v>
      </c>
      <c r="B258" s="7" t="s">
        <v>353</v>
      </c>
      <c r="C258" s="3">
        <v>8</v>
      </c>
      <c r="D258" s="7">
        <v>5</v>
      </c>
    </row>
    <row r="259" spans="1:4" x14ac:dyDescent="0.25">
      <c r="A259" s="3" t="str">
        <f t="shared" si="37"/>
        <v>UCS: UCS1, Chassis: 8, Slot: 7</v>
      </c>
      <c r="B259" s="7" t="s">
        <v>353</v>
      </c>
      <c r="C259" s="3">
        <v>8</v>
      </c>
      <c r="D259" s="7">
        <v>7</v>
      </c>
    </row>
    <row r="260" spans="1:4" x14ac:dyDescent="0.25">
      <c r="B260" s="7"/>
    </row>
    <row r="261" spans="1:4" x14ac:dyDescent="0.25">
      <c r="B261" s="7"/>
      <c r="D261" s="7"/>
    </row>
    <row r="262" spans="1:4" x14ac:dyDescent="0.25">
      <c r="B262" s="7"/>
      <c r="D262" s="7"/>
    </row>
    <row r="263" spans="1:4" x14ac:dyDescent="0.25">
      <c r="B263" s="7"/>
      <c r="D263" s="7"/>
    </row>
    <row r="264" spans="1:4" x14ac:dyDescent="0.25">
      <c r="B264" s="7"/>
    </row>
    <row r="265" spans="1:4" x14ac:dyDescent="0.25">
      <c r="B265" s="7"/>
      <c r="D265" s="7"/>
    </row>
    <row r="266" spans="1:4" x14ac:dyDescent="0.25">
      <c r="B266" s="7"/>
      <c r="D266" s="7"/>
    </row>
    <row r="267" spans="1:4" x14ac:dyDescent="0.25">
      <c r="B267" s="7"/>
      <c r="D267" s="7"/>
    </row>
  </sheetData>
  <dataConsolidate/>
  <mergeCells count="10">
    <mergeCell ref="K58:P58"/>
    <mergeCell ref="B146:C146"/>
    <mergeCell ref="D146:E146"/>
    <mergeCell ref="F146:G146"/>
    <mergeCell ref="H24:I24"/>
    <mergeCell ref="D28:E28"/>
    <mergeCell ref="F28:G28"/>
    <mergeCell ref="H28:I28"/>
    <mergeCell ref="F34:J34"/>
    <mergeCell ref="E58:J58"/>
  </mergeCells>
  <dataValidations count="9">
    <dataValidation type="list" allowBlank="1" showInputMessage="1" showErrorMessage="1" sqref="B198" xr:uid="{0E0D9F4D-0DE3-49D8-930F-631491C6C862}">
      <formula1>Server_Counts</formula1>
    </dataValidation>
    <dataValidation type="list" allowBlank="1" showInputMessage="1" showErrorMessage="1" sqref="B199" xr:uid="{23BBE827-276F-43FE-83BB-0D44F3AACCFB}">
      <formula1>Supported_Operating_Systems</formula1>
    </dataValidation>
    <dataValidation type="list" allowBlank="1" showInputMessage="1" showErrorMessage="1" sqref="B201" xr:uid="{A4AACA2B-ED95-46FE-9186-C0AB8EB33BCB}">
      <formula1>TimeZones_Linux</formula1>
    </dataValidation>
    <dataValidation type="list" allowBlank="1" showInputMessage="1" showErrorMessage="1" sqref="B204 B207 B210 B213 B223" xr:uid="{32E38043-B153-4EC3-BBC2-696231B6D354}">
      <formula1>File_System_Types</formula1>
    </dataValidation>
    <dataValidation type="list" allowBlank="1" showInputMessage="1" showErrorMessage="1" sqref="B166 B196" xr:uid="{95B0832B-82B1-4941-AF8A-0439727D57DE}">
      <formula1>Server_Sizes</formula1>
    </dataValidation>
    <dataValidation type="list" allowBlank="1" showInputMessage="1" showErrorMessage="1" sqref="B162:B163" xr:uid="{B6DEC555-3042-4788-9A55-FB9DCB27E8B3}">
      <formula1>Netweaver_Server_Sizes</formula1>
    </dataValidation>
    <dataValidation type="list" allowBlank="1" showInputMessage="1" showErrorMessage="1" sqref="C148 E148" xr:uid="{BD95E4B2-BBD4-439C-8DDC-31C3FEBF517F}">
      <formula1>VSphere_Latency_Sensitivity_Sensitivity_Level</formula1>
    </dataValidation>
    <dataValidation type="list" allowBlank="1" showInputMessage="1" showErrorMessage="1" sqref="D132" xr:uid="{D56EE574-796B-49DC-B150-134BF9157BF9}">
      <formula1>VSphere_DRS_Behavior</formula1>
    </dataValidation>
    <dataValidation type="list" allowBlank="1" showInputMessage="1" showErrorMessage="1" sqref="B129 B132 B148 D148 D188 B197 B217" xr:uid="{B8F5CB38-A7BC-47A1-AA71-5D53C873A626}">
      <formula1>$K$2:$K$3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105</vt:i4>
      </vt:variant>
    </vt:vector>
  </HeadingPairs>
  <TitlesOfParts>
    <vt:vector size="111" baseType="lpstr">
      <vt:lpstr>HANA Scenarios</vt:lpstr>
      <vt:lpstr>FE Scenarios</vt:lpstr>
      <vt:lpstr>NW Scenarios</vt:lpstr>
      <vt:lpstr>Landscapes</vt:lpstr>
      <vt:lpstr>Start</vt:lpstr>
      <vt:lpstr>Configuration Model</vt:lpstr>
      <vt:lpstr>'Configuration Model'!B260_Memory_Info</vt:lpstr>
      <vt:lpstr>'Configuration Model'!B260_Memory_Max</vt:lpstr>
      <vt:lpstr>'Configuration Model'!B460_Memory_Info</vt:lpstr>
      <vt:lpstr>'Configuration Model'!B460_Memory_Max</vt:lpstr>
      <vt:lpstr>'Configuration Model'!BWoH</vt:lpstr>
      <vt:lpstr>'Configuration Model'!BWoH_Server_Size_Info</vt:lpstr>
      <vt:lpstr>'Configuration Model'!CPU_Info</vt:lpstr>
      <vt:lpstr>'Configuration Model'!File_System_Types</vt:lpstr>
      <vt:lpstr>'Configuration Model'!HANA_Storage_Port_Oversubscription_Factor</vt:lpstr>
      <vt:lpstr>'Configuration Model'!HANA_Version_Info</vt:lpstr>
      <vt:lpstr>'Configuration Model'!HANA_Versions</vt:lpstr>
      <vt:lpstr>'Configuration Model'!HANA_Workload</vt:lpstr>
      <vt:lpstr>'Configuration Model'!Hypervisor_Version_Info</vt:lpstr>
      <vt:lpstr>'Configuration Model'!Machine_Information</vt:lpstr>
      <vt:lpstr>'Configuration Model'!Machine_Virtual_Machine</vt:lpstr>
      <vt:lpstr>'Configuration Model'!Machine_Workload_CPU_Tuple</vt:lpstr>
      <vt:lpstr>'Configuration Model'!Netweaver_Language</vt:lpstr>
      <vt:lpstr>'Configuration Model'!Netweaver_Server_Size_Info</vt:lpstr>
      <vt:lpstr>'Configuration Model'!Netweaver_Server_Sizes</vt:lpstr>
      <vt:lpstr>'Configuration Model'!Netweaver_Version_Info</vt:lpstr>
      <vt:lpstr>'Configuration Model'!Netweaver_Versions</vt:lpstr>
      <vt:lpstr>'Configuration Model'!No</vt:lpstr>
      <vt:lpstr>'Configuration Model'!NW_Storage_Backup_Capacity_scalar</vt:lpstr>
      <vt:lpstr>'Configuration Model'!OS_Version_Info</vt:lpstr>
      <vt:lpstr>'Configuration Model'!Server_Counts</vt:lpstr>
      <vt:lpstr>'Configuration Model'!Server_Info</vt:lpstr>
      <vt:lpstr>'Configuration Model'!Server_Server_Size_Info</vt:lpstr>
      <vt:lpstr>'Configuration Model'!Server_Size_Info_NonProduction_Offset</vt:lpstr>
      <vt:lpstr>'Configuration Model'!Server_Size_Info_Production_Offset</vt:lpstr>
      <vt:lpstr>'Configuration Model'!Server_Sizes</vt:lpstr>
      <vt:lpstr>'Configuration Model'!Servers_Storage_Backup_Capacity_scalar</vt:lpstr>
      <vt:lpstr>'Configuration Model'!SoH</vt:lpstr>
      <vt:lpstr>'Configuration Model'!SoH_Server_Size_Info</vt:lpstr>
      <vt:lpstr>'Configuration Model'!Storage_Backup_Capacity_scalar</vt:lpstr>
      <vt:lpstr>'Configuration Model'!Storage_hana_data_scalar</vt:lpstr>
      <vt:lpstr>'Configuration Model'!Storage_hana_log_scalar</vt:lpstr>
      <vt:lpstr>'Configuration Model'!Storage_hana_shared_scalar</vt:lpstr>
      <vt:lpstr>'Configuration Model'!Storage_usr_sap</vt:lpstr>
      <vt:lpstr>'Configuration Model'!Supported_Hypervisors</vt:lpstr>
      <vt:lpstr>'Configuration Model'!Supported_Operating_Systems</vt:lpstr>
      <vt:lpstr>'Configuration Model'!Supported_UCS_Blade_Servers</vt:lpstr>
      <vt:lpstr>tags</vt:lpstr>
      <vt:lpstr>Tags_Range</vt:lpstr>
      <vt:lpstr>'Configuration Model'!TDI_KPI_Options</vt:lpstr>
      <vt:lpstr>'Configuration Model'!UCS_Blade_Server_Spec_Info</vt:lpstr>
      <vt:lpstr>'Configuration Model'!Virtual_Hosts_Server_Types</vt:lpstr>
      <vt:lpstr>'Configuration Model'!Vn_Comp_FE_ASE_Cores_Per_Server</vt:lpstr>
      <vt:lpstr>'Configuration Model'!Vn_Comp_FE_CS_Cores_Per_Server</vt:lpstr>
      <vt:lpstr>'Configuration Model'!Vn_Comp_Media_Cores_Per_Server</vt:lpstr>
      <vt:lpstr>'Configuration Model'!Vn_Comp_Media_Machine_Type</vt:lpstr>
      <vt:lpstr>'Configuration Model'!Vn_Comp_Media_Memory_per_Server</vt:lpstr>
      <vt:lpstr>'Configuration Model'!Vn_Comp_Media_Server_Type</vt:lpstr>
      <vt:lpstr>'Configuration Model'!Vn_Comp_Media_Total_Servers</vt:lpstr>
      <vt:lpstr>'Configuration Model'!Vn_Comp_SC_Cores_Per_Server</vt:lpstr>
      <vt:lpstr>'Configuration Model'!Vn_Comp_SC_Memory_Per_Server</vt:lpstr>
      <vt:lpstr>'Configuration Model'!Vn_Input_ASE_OS_Password</vt:lpstr>
      <vt:lpstr>'Configuration Model'!Vn_Input_Disk_Mount_1</vt:lpstr>
      <vt:lpstr>'Configuration Model'!Vn_Input_Disk_Space_1</vt:lpstr>
      <vt:lpstr>'Configuration Model'!Vn_Input_FE_ASE_Memory</vt:lpstr>
      <vt:lpstr>'Configuration Model'!Vn_Input_FE_CS_Memory</vt:lpstr>
      <vt:lpstr>'Configuration Model'!Vn_Input_FS_Type_1</vt:lpstr>
      <vt:lpstr>'Configuration Model'!Vn_Input_Media_Deployment_Name</vt:lpstr>
      <vt:lpstr>'Configuration Model'!Vn_Input_Media_Disk_Mount_1</vt:lpstr>
      <vt:lpstr>'Configuration Model'!Vn_Input_Media_Disk_Mount_2</vt:lpstr>
      <vt:lpstr>'Configuration Model'!Vn_Input_Media_Disk_Mount_3</vt:lpstr>
      <vt:lpstr>'Configuration Model'!Vn_Input_Media_Disk_Mount_4</vt:lpstr>
      <vt:lpstr>'Configuration Model'!Vn_Input_Media_Disk_Space_1</vt:lpstr>
      <vt:lpstr>'Configuration Model'!Vn_Input_Media_Disk_Space_2</vt:lpstr>
      <vt:lpstr>'Configuration Model'!Vn_Input_Media_Disk_Space_3</vt:lpstr>
      <vt:lpstr>'Configuration Model'!Vn_Input_Media_Disk_Space_4</vt:lpstr>
      <vt:lpstr>'Configuration Model'!Vn_Input_Media_FS_Type_1</vt:lpstr>
      <vt:lpstr>'Configuration Model'!Vn_Input_Media_FS_Type_2</vt:lpstr>
      <vt:lpstr>'Configuration Model'!Vn_Input_Media_FS_Type_3</vt:lpstr>
      <vt:lpstr>'Configuration Model'!Vn_Input_Media_FS_Type_4</vt:lpstr>
      <vt:lpstr>'Configuration Model'!Vn_Input_Media_Memory</vt:lpstr>
      <vt:lpstr>'Configuration Model'!Vn_Input_Media_OS</vt:lpstr>
      <vt:lpstr>'Configuration Model'!Vn_Input_Media_OS_Password</vt:lpstr>
      <vt:lpstr>'Configuration Model'!Vn_Input_Media_Production</vt:lpstr>
      <vt:lpstr>'Configuration Model'!Vn_Input_Media_Servers</vt:lpstr>
      <vt:lpstr>'Configuration Model'!Vn_Input_Media_TimeZone</vt:lpstr>
      <vt:lpstr>'Configuration Model'!Vn_Input_NS_Deployment_Name</vt:lpstr>
      <vt:lpstr>'Configuration Model'!Vn_Input_NS_HA</vt:lpstr>
      <vt:lpstr>'Configuration Model'!Vn_Input_SC_Memory</vt:lpstr>
      <vt:lpstr>'Configuration Model'!Vn_Meta_ClusterDRS_Def_VM_Behavior</vt:lpstr>
      <vt:lpstr>'Configuration Model'!Vn_Meta_ClusterDRS_Enabled</vt:lpstr>
      <vt:lpstr>'Configuration Model'!Vn_Meta_ClusterDRS_Vmotion_Rate</vt:lpstr>
      <vt:lpstr>'Configuration Model'!Vn_Meta_Customer_Order</vt:lpstr>
      <vt:lpstr>'Configuration Model'!Vn_Meta_Deployment_Order</vt:lpstr>
      <vt:lpstr>'Configuration Model'!Vn_Meta_FE_ServiceModel</vt:lpstr>
      <vt:lpstr>'Configuration Model'!Vn_Meta_HANA_ServiceModel</vt:lpstr>
      <vt:lpstr>'Configuration Model'!Vn_Meta_Model_Major_Version</vt:lpstr>
      <vt:lpstr>'Configuration Model'!Vn_Meta_Model_Minor_Version</vt:lpstr>
      <vt:lpstr>'Configuration Model'!Vn_Meta_Model_Version</vt:lpstr>
      <vt:lpstr>'Configuration Model'!Vn_Meta_NW_ServiceModel</vt:lpstr>
      <vt:lpstr>'Configuration Model'!Vn_Meta_Servers_ServiceModel</vt:lpstr>
      <vt:lpstr>'Configuration Model'!Vn_Meta_ServiceModels</vt:lpstr>
      <vt:lpstr>'Configuration Model'!Vn_Meta_VH_ServiceModel</vt:lpstr>
      <vt:lpstr>'Configuration Model'!Vn_Meta_VM_CapacityEnforcement</vt:lpstr>
      <vt:lpstr>'Configuration Model'!Vn_Meta_VM_MemRes_LatSenLevel</vt:lpstr>
      <vt:lpstr>'Configuration Model'!Vn_Meta_VM_MemRes_LockToMax</vt:lpstr>
      <vt:lpstr>'Configuration Model'!VSphere_DRS_Behavior</vt:lpstr>
      <vt:lpstr>'Configuration Model'!VSphere_Latency_Sensitivity_Sensitivity_Level</vt:lpstr>
      <vt:lpstr>'Configuration Model'!VSphere_VM_Max_Memory</vt:lpstr>
      <vt:lpstr>'Configuration Model'!Yes</vt:lpstr>
      <vt:lpstr>'Configuration Model'!YES_NO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Derek Palma</dc:creator>
  <cp:keywords/>
  <dc:description/>
  <cp:lastModifiedBy>admin</cp:lastModifiedBy>
  <cp:revision/>
  <cp:lastPrinted>2017-09-06T14:16:34Z</cp:lastPrinted>
  <dcterms:created xsi:type="dcterms:W3CDTF">2015-06-05T18:17:20Z</dcterms:created>
  <dcterms:modified xsi:type="dcterms:W3CDTF">2018-02-08T04:55:31Z</dcterms:modified>
  <cp:category/>
  <cp:contentStatus/>
</cp:coreProperties>
</file>